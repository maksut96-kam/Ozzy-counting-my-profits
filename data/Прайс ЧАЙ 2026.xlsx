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96" windowHeight="10896"/>
  </bookViews>
  <sheets>
    <sheet name="Чай" sheetId="1" r:id="rId1"/>
    <sheet name="Описание чая" sheetId="2" r:id="rId2"/>
    <sheet name="Лист3" sheetId="3" r:id="rId3"/>
  </sheets>
  <calcPr calcId="145621"/>
  <extLst>
    <ext xmlns:mx="http://schemas.microsoft.com/office/mac/excel/2008/main" uri="{7523E5D3-25F3-A5E0-1632-64F254C22452}">
      <mx:ArchID Flags="2"/>
    </ext>
  </extLst>
</workbook>
</file>

<file path=xl/calcChain.xml><?xml version="1.0" encoding="utf-8"?>
<calcChain xmlns="http://schemas.openxmlformats.org/spreadsheetml/2006/main">
  <c r="D36" i="1" l="1"/>
  <c r="D125" i="1"/>
  <c r="D35" i="1" l="1"/>
  <c r="D34" i="1" l="1"/>
  <c r="D33" i="1"/>
  <c r="D32" i="1"/>
  <c r="D38" i="1"/>
  <c r="E38" i="1"/>
  <c r="E129" i="1" l="1"/>
  <c r="D129" i="1"/>
  <c r="D93" i="1" l="1"/>
  <c r="D116" i="1" l="1"/>
  <c r="E5" i="1"/>
  <c r="E6" i="1"/>
  <c r="E7" i="1"/>
  <c r="E8" i="1"/>
  <c r="E9" i="1"/>
  <c r="E10" i="1"/>
  <c r="E11" i="1"/>
  <c r="E12" i="1"/>
  <c r="E13" i="1"/>
  <c r="E14" i="1"/>
  <c r="E15" i="1"/>
  <c r="E16" i="1"/>
  <c r="E17" i="1"/>
  <c r="E18" i="1"/>
  <c r="E19" i="1"/>
  <c r="E20" i="1"/>
  <c r="E21" i="1"/>
  <c r="E22" i="1"/>
  <c r="E23" i="1"/>
  <c r="E24" i="1"/>
  <c r="E25" i="1"/>
  <c r="E26" i="1"/>
  <c r="E27" i="1"/>
  <c r="E28" i="1"/>
  <c r="E29" i="1"/>
  <c r="E30" i="1"/>
  <c r="E31" i="1"/>
  <c r="E39" i="1"/>
  <c r="E40" i="1"/>
  <c r="E41" i="1"/>
  <c r="E42" i="1"/>
  <c r="E43" i="1"/>
  <c r="E45" i="1"/>
  <c r="E46" i="1"/>
  <c r="E47" i="1"/>
  <c r="E48" i="1"/>
  <c r="E49" i="1"/>
  <c r="E50" i="1"/>
  <c r="E51" i="1"/>
  <c r="E52" i="1"/>
  <c r="E53" i="1"/>
  <c r="E54" i="1"/>
  <c r="E55" i="1"/>
  <c r="E56" i="1"/>
  <c r="E57" i="1"/>
  <c r="E58" i="1"/>
  <c r="E59" i="1"/>
  <c r="E60" i="1"/>
  <c r="E61" i="1"/>
  <c r="E62" i="1"/>
  <c r="E63" i="1"/>
  <c r="E64" i="1"/>
  <c r="E65" i="1"/>
  <c r="E66" i="1"/>
  <c r="E67" i="1"/>
  <c r="E69" i="1"/>
  <c r="E70" i="1"/>
  <c r="E71" i="1"/>
  <c r="E72" i="1"/>
  <c r="E73" i="1"/>
  <c r="E74" i="1"/>
  <c r="E75" i="1"/>
  <c r="E76" i="1"/>
  <c r="E77" i="1"/>
  <c r="E78" i="1"/>
  <c r="E79" i="1"/>
  <c r="E80" i="1"/>
  <c r="E81" i="1"/>
  <c r="E82" i="1"/>
  <c r="E83" i="1"/>
  <c r="E84" i="1"/>
  <c r="E85" i="1"/>
  <c r="E86" i="1"/>
  <c r="E87" i="1"/>
  <c r="E88" i="1"/>
  <c r="E90" i="1"/>
  <c r="E91" i="1"/>
  <c r="E92" i="1"/>
  <c r="E94" i="1"/>
  <c r="E95" i="1"/>
  <c r="E96" i="1"/>
  <c r="E98" i="1"/>
  <c r="E99" i="1"/>
  <c r="E100" i="1"/>
  <c r="E101" i="1"/>
  <c r="E102" i="1"/>
  <c r="E103" i="1"/>
  <c r="E104" i="1"/>
  <c r="E105" i="1"/>
  <c r="E107" i="1"/>
  <c r="E108" i="1"/>
  <c r="E109" i="1"/>
  <c r="E110" i="1"/>
  <c r="E111" i="1"/>
  <c r="E112" i="1"/>
  <c r="E113" i="1"/>
  <c r="E114" i="1"/>
  <c r="E116" i="1"/>
  <c r="E117" i="1"/>
  <c r="E118" i="1"/>
  <c r="E119" i="1"/>
  <c r="E120" i="1"/>
  <c r="E121" i="1"/>
  <c r="E122" i="1"/>
  <c r="E123" i="1"/>
  <c r="E124" i="1"/>
  <c r="E125" i="1"/>
  <c r="E126" i="1"/>
  <c r="E127" i="1"/>
  <c r="E128" i="1"/>
  <c r="E4" i="1"/>
  <c r="D39" i="1"/>
  <c r="D40" i="1"/>
  <c r="D41" i="1"/>
  <c r="D42" i="1"/>
  <c r="D43" i="1"/>
  <c r="D45" i="1"/>
  <c r="D46" i="1"/>
  <c r="D47" i="1"/>
  <c r="D48" i="1"/>
  <c r="D49" i="1"/>
  <c r="D50" i="1"/>
  <c r="D51" i="1"/>
  <c r="D52" i="1"/>
  <c r="D53" i="1"/>
  <c r="D54" i="1"/>
  <c r="D55" i="1"/>
  <c r="D56" i="1"/>
  <c r="D57" i="1"/>
  <c r="D58" i="1"/>
  <c r="D59" i="1"/>
  <c r="D60" i="1"/>
  <c r="D61" i="1"/>
  <c r="D62" i="1"/>
  <c r="D63" i="1"/>
  <c r="D64" i="1"/>
  <c r="D65" i="1"/>
  <c r="D66" i="1"/>
  <c r="D67" i="1"/>
  <c r="D69" i="1"/>
  <c r="D70" i="1"/>
  <c r="D71" i="1"/>
  <c r="D72" i="1"/>
  <c r="D73" i="1"/>
  <c r="D74" i="1"/>
  <c r="D75" i="1"/>
  <c r="D76" i="1"/>
  <c r="D77" i="1"/>
  <c r="D78" i="1"/>
  <c r="D79" i="1"/>
  <c r="D80" i="1"/>
  <c r="D81" i="1"/>
  <c r="D82" i="1"/>
  <c r="D83" i="1"/>
  <c r="D84" i="1"/>
  <c r="D85" i="1"/>
  <c r="D86" i="1"/>
  <c r="D87" i="1"/>
  <c r="D88" i="1"/>
  <c r="D90" i="1"/>
  <c r="D91" i="1"/>
  <c r="D92" i="1"/>
  <c r="D94" i="1"/>
  <c r="D95" i="1"/>
  <c r="D96" i="1"/>
  <c r="D98" i="1"/>
  <c r="D99" i="1"/>
  <c r="D100" i="1"/>
  <c r="D101" i="1"/>
  <c r="D102" i="1"/>
  <c r="D103" i="1"/>
  <c r="D104" i="1"/>
  <c r="D105" i="1"/>
  <c r="D107" i="1"/>
  <c r="D108" i="1"/>
  <c r="D109" i="1"/>
  <c r="D110" i="1"/>
  <c r="D111" i="1"/>
  <c r="D112" i="1"/>
  <c r="D113" i="1"/>
  <c r="D114" i="1"/>
  <c r="D117" i="1"/>
  <c r="D118" i="1"/>
  <c r="D119" i="1"/>
  <c r="D120" i="1"/>
  <c r="D121" i="1"/>
  <c r="D122" i="1"/>
  <c r="D123" i="1"/>
  <c r="D124" i="1"/>
  <c r="D126" i="1"/>
  <c r="D127" i="1"/>
  <c r="D128" i="1"/>
  <c r="D6" i="1"/>
  <c r="D7" i="1"/>
  <c r="D8" i="1"/>
  <c r="D9" i="1"/>
  <c r="D10" i="1"/>
  <c r="D11" i="1"/>
  <c r="D12" i="1"/>
  <c r="D13" i="1"/>
  <c r="D14" i="1"/>
  <c r="D15" i="1"/>
  <c r="D16" i="1"/>
  <c r="D17" i="1"/>
  <c r="D18" i="1"/>
  <c r="D19" i="1"/>
  <c r="D20" i="1"/>
  <c r="D21" i="1"/>
  <c r="D22" i="1"/>
  <c r="D23" i="1"/>
  <c r="D24" i="1"/>
  <c r="D25" i="1"/>
  <c r="D26" i="1"/>
  <c r="D27" i="1"/>
  <c r="D28" i="1"/>
  <c r="D29" i="1"/>
  <c r="D30" i="1"/>
  <c r="D31" i="1"/>
  <c r="D5" i="1"/>
  <c r="D4" i="1"/>
</calcChain>
</file>

<file path=xl/sharedStrings.xml><?xml version="1.0" encoding="utf-8"?>
<sst xmlns="http://schemas.openxmlformats.org/spreadsheetml/2006/main" count="553" uniqueCount="526">
  <si>
    <t>Наименование</t>
  </si>
  <si>
    <t>Прибыль</t>
  </si>
  <si>
    <t>по курсу</t>
  </si>
  <si>
    <t>A</t>
  </si>
  <si>
    <t>Чай черный ароматизированный</t>
  </si>
  <si>
    <t>01A</t>
  </si>
  <si>
    <t>Эрл Грей Классический</t>
  </si>
  <si>
    <t>05A</t>
  </si>
  <si>
    <t>Земляничный с ягодами</t>
  </si>
  <si>
    <t>14A</t>
  </si>
  <si>
    <t>Черная Вишня</t>
  </si>
  <si>
    <t>20A</t>
  </si>
  <si>
    <t>Бейлис Крем</t>
  </si>
  <si>
    <t>25A</t>
  </si>
  <si>
    <t>1000 и 1 Ночь</t>
  </si>
  <si>
    <t>26A</t>
  </si>
  <si>
    <t>Земляника со сливками</t>
  </si>
  <si>
    <t>40A</t>
  </si>
  <si>
    <t>Сказки Шехерезады</t>
  </si>
  <si>
    <t>41A</t>
  </si>
  <si>
    <t>Граф Монте- Кристо</t>
  </si>
  <si>
    <t>52A</t>
  </si>
  <si>
    <t>Эрл Грей Синий</t>
  </si>
  <si>
    <t>63A</t>
  </si>
  <si>
    <t>Тирамису</t>
  </si>
  <si>
    <t>64A</t>
  </si>
  <si>
    <t>Трюфель</t>
  </si>
  <si>
    <t>67A</t>
  </si>
  <si>
    <t>Богородский</t>
  </si>
  <si>
    <t>68A</t>
  </si>
  <si>
    <t>Татарский</t>
  </si>
  <si>
    <t>69A</t>
  </si>
  <si>
    <t>Черная Мята</t>
  </si>
  <si>
    <t>70A</t>
  </si>
  <si>
    <t>Таежный черный</t>
  </si>
  <si>
    <t>71A</t>
  </si>
  <si>
    <t>Клюква в сахаре</t>
  </si>
  <si>
    <t xml:space="preserve">72А </t>
  </si>
  <si>
    <t>Шантимель</t>
  </si>
  <si>
    <t xml:space="preserve">73А </t>
  </si>
  <si>
    <t>Массала</t>
  </si>
  <si>
    <t xml:space="preserve">75А </t>
  </si>
  <si>
    <t>Аленький цветочек</t>
  </si>
  <si>
    <t>Князь Волконский</t>
  </si>
  <si>
    <t>76A</t>
  </si>
  <si>
    <t>77A</t>
  </si>
  <si>
    <t>Чай Шиповник</t>
  </si>
  <si>
    <t>78A</t>
  </si>
  <si>
    <t>Черничная поляна</t>
  </si>
  <si>
    <t>79A</t>
  </si>
  <si>
    <t>Сладкий секрет</t>
  </si>
  <si>
    <t>81A</t>
  </si>
  <si>
    <t xml:space="preserve">Шоколадный сон </t>
  </si>
  <si>
    <t>84A</t>
  </si>
  <si>
    <t>Облепиховый</t>
  </si>
  <si>
    <t>85A</t>
  </si>
  <si>
    <t>Персик - пломбир</t>
  </si>
  <si>
    <t>86A</t>
  </si>
  <si>
    <t>Чай черный с имбирем</t>
  </si>
  <si>
    <t>87A</t>
  </si>
  <si>
    <t>Сердце Африки</t>
  </si>
  <si>
    <t>B</t>
  </si>
  <si>
    <t>Чай фруктовый ароматизированный</t>
  </si>
  <si>
    <t>02B</t>
  </si>
  <si>
    <t>Вишневый Пунш</t>
  </si>
  <si>
    <t>03B</t>
  </si>
  <si>
    <t>Сливочно-Земляничный</t>
  </si>
  <si>
    <t>10B</t>
  </si>
  <si>
    <t>Красная Роза Занзибара</t>
  </si>
  <si>
    <t>11B</t>
  </si>
  <si>
    <t>Чудо-Ягода</t>
  </si>
  <si>
    <t>16B</t>
  </si>
  <si>
    <t>Нахальный Фрукт</t>
  </si>
  <si>
    <t>22B</t>
  </si>
  <si>
    <t>Каркаде (Мальва)</t>
  </si>
  <si>
    <t>C</t>
  </si>
  <si>
    <t>Чай зеленый ароматизированный</t>
  </si>
  <si>
    <t>01C</t>
  </si>
  <si>
    <t>Дикая Вишня</t>
  </si>
  <si>
    <t>02C</t>
  </si>
  <si>
    <t>Сказки Востока</t>
  </si>
  <si>
    <t>03C</t>
  </si>
  <si>
    <t>Жасминовый</t>
  </si>
  <si>
    <t>04C</t>
  </si>
  <si>
    <t>Эрл Грей зеленый</t>
  </si>
  <si>
    <t>05C</t>
  </si>
  <si>
    <t>Японский Лимон</t>
  </si>
  <si>
    <t>06C</t>
  </si>
  <si>
    <t>Жемчужный</t>
  </si>
  <si>
    <t>07C</t>
  </si>
  <si>
    <t>Китайская Мята</t>
  </si>
  <si>
    <t>10C</t>
  </si>
  <si>
    <t>Китайский Лимонник</t>
  </si>
  <si>
    <t>14C</t>
  </si>
  <si>
    <t>Земляника Лесная</t>
  </si>
  <si>
    <t>16C</t>
  </si>
  <si>
    <t>Римские каникулы</t>
  </si>
  <si>
    <t>17C</t>
  </si>
  <si>
    <t>Солнечное утро</t>
  </si>
  <si>
    <t>24C</t>
  </si>
  <si>
    <t>Японская Липа</t>
  </si>
  <si>
    <t>29C</t>
  </si>
  <si>
    <t>Восточный Базар</t>
  </si>
  <si>
    <t>30C</t>
  </si>
  <si>
    <t>Сердце Дракона</t>
  </si>
  <si>
    <t>42C</t>
  </si>
  <si>
    <t>Зеленый кактус</t>
  </si>
  <si>
    <t>43C</t>
  </si>
  <si>
    <t>Зеленый Страна Эльфов</t>
  </si>
  <si>
    <t>46C</t>
  </si>
  <si>
    <t>Зеленая Леди</t>
  </si>
  <si>
    <t>47C</t>
  </si>
  <si>
    <t>Зеленый Дух</t>
  </si>
  <si>
    <t>53C</t>
  </si>
  <si>
    <t>Драгоценный Ларец</t>
  </si>
  <si>
    <t>54C</t>
  </si>
  <si>
    <t>Рапсодия</t>
  </si>
  <si>
    <t>63C</t>
  </si>
  <si>
    <t>Саусеп зеленый</t>
  </si>
  <si>
    <t>64C</t>
  </si>
  <si>
    <t xml:space="preserve">Имбирный  </t>
  </si>
  <si>
    <t>69C</t>
  </si>
  <si>
    <t>Барбарисовый</t>
  </si>
  <si>
    <t>G</t>
  </si>
  <si>
    <t>Зеленый</t>
  </si>
  <si>
    <t>02G</t>
  </si>
  <si>
    <t>Порох "Храм Неба"</t>
  </si>
  <si>
    <t>03G</t>
  </si>
  <si>
    <t xml:space="preserve">Жемчужина Дракона Жасминовая </t>
  </si>
  <si>
    <t>05G</t>
  </si>
  <si>
    <t>Сенча</t>
  </si>
  <si>
    <t>06G</t>
  </si>
  <si>
    <t>Белый пион</t>
  </si>
  <si>
    <t>07G</t>
  </si>
  <si>
    <t>Глаз Феникса Жасминовый</t>
  </si>
  <si>
    <t>13G</t>
  </si>
  <si>
    <t>Шарик Невесты Жасминовый</t>
  </si>
  <si>
    <t>15G</t>
  </si>
  <si>
    <t>Генмайча</t>
  </si>
  <si>
    <t>17G</t>
  </si>
  <si>
    <t>Зеленая улитка</t>
  </si>
  <si>
    <t>19G</t>
  </si>
  <si>
    <t>Жемчужина Дракона "Молочная"</t>
  </si>
  <si>
    <t>21G</t>
  </si>
  <si>
    <t>Чун Ми</t>
  </si>
  <si>
    <t>24G</t>
  </si>
  <si>
    <t>Шарик Невесты Персиковый</t>
  </si>
  <si>
    <t>25G</t>
  </si>
  <si>
    <t>Белый Жемчуг Дракона</t>
  </si>
  <si>
    <t>27G</t>
  </si>
  <si>
    <t>Зеленый Дракон (Гвоздика Кабо)</t>
  </si>
  <si>
    <t>40G</t>
  </si>
  <si>
    <t>Ангел Лили</t>
  </si>
  <si>
    <t>41G</t>
  </si>
  <si>
    <t>Земляничный Семь Ангелов</t>
  </si>
  <si>
    <t>43G</t>
  </si>
  <si>
    <t>Белый Пу Эр</t>
  </si>
  <si>
    <t>45G</t>
  </si>
  <si>
    <t>47G</t>
  </si>
  <si>
    <t>Органический Белый Жемчуг</t>
  </si>
  <si>
    <t>51G</t>
  </si>
  <si>
    <t>Бай Мао Хоу (Беловолосая Обезьяна)</t>
  </si>
  <si>
    <t>52G</t>
  </si>
  <si>
    <t>Люй Юй Хуань (Нефритовре кольцо)</t>
  </si>
  <si>
    <t>F</t>
  </si>
  <si>
    <t>Мате, Ройбуш, Хонибуш</t>
  </si>
  <si>
    <t>05F</t>
  </si>
  <si>
    <t>Миндальный восторг</t>
  </si>
  <si>
    <t>06F</t>
  </si>
  <si>
    <t>Миндальный восторг зеленый</t>
  </si>
  <si>
    <t>14F</t>
  </si>
  <si>
    <t>Ройбуш</t>
  </si>
  <si>
    <t>15F</t>
  </si>
  <si>
    <t>Ройбуш зеленый</t>
  </si>
  <si>
    <t>23F</t>
  </si>
  <si>
    <t>Ройбуш Крем-Карамель</t>
  </si>
  <si>
    <t>24F</t>
  </si>
  <si>
    <t>Ройбуш Сливочно-Земляничный</t>
  </si>
  <si>
    <t>E</t>
  </si>
  <si>
    <t>Травянной</t>
  </si>
  <si>
    <t>05Е</t>
  </si>
  <si>
    <t>Ромашковый (травяной)</t>
  </si>
  <si>
    <t>07Е</t>
  </si>
  <si>
    <t>Альпийский луг</t>
  </si>
  <si>
    <t>08Е</t>
  </si>
  <si>
    <t>Лесная Фея</t>
  </si>
  <si>
    <t>55C</t>
  </si>
  <si>
    <t>Любовная смесь</t>
  </si>
  <si>
    <t>56C</t>
  </si>
  <si>
    <t>Лесная ягода</t>
  </si>
  <si>
    <t>57Е</t>
  </si>
  <si>
    <t>Афродита</t>
  </si>
  <si>
    <t>58Е</t>
  </si>
  <si>
    <t>Малиновая свежесть</t>
  </si>
  <si>
    <t>63E</t>
  </si>
  <si>
    <t>Гречишный чай</t>
  </si>
  <si>
    <t>U</t>
  </si>
  <si>
    <t>Улонг</t>
  </si>
  <si>
    <t>01U</t>
  </si>
  <si>
    <t>Те Гуан Инь "Железная Бодисатва"</t>
  </si>
  <si>
    <t>04U</t>
  </si>
  <si>
    <t>Да Хун Пао</t>
  </si>
  <si>
    <t>05U</t>
  </si>
  <si>
    <t>Дун Дин</t>
  </si>
  <si>
    <t>06U</t>
  </si>
  <si>
    <t>Женьшеневый оолонг</t>
  </si>
  <si>
    <t>07U</t>
  </si>
  <si>
    <t>Молочный улун</t>
  </si>
  <si>
    <t>12U</t>
  </si>
  <si>
    <t>Фенг Хуан Дан Тсун</t>
  </si>
  <si>
    <t>13U</t>
  </si>
  <si>
    <t>Ю Лу-Нефритовая Роса</t>
  </si>
  <si>
    <t>16U</t>
  </si>
  <si>
    <t>Формоза Улонг Восточная Красавица</t>
  </si>
  <si>
    <t>H</t>
  </si>
  <si>
    <t>Черный</t>
  </si>
  <si>
    <t>01H</t>
  </si>
  <si>
    <t>02H</t>
  </si>
  <si>
    <t xml:space="preserve">Цейлон ОР1 </t>
  </si>
  <si>
    <t>03H</t>
  </si>
  <si>
    <t>Дарджеелинг FTGFOP1</t>
  </si>
  <si>
    <t>04H</t>
  </si>
  <si>
    <t>Китай ПуЭр</t>
  </si>
  <si>
    <t>05H</t>
  </si>
  <si>
    <t>06H</t>
  </si>
  <si>
    <t>Лапсан Сушонг</t>
  </si>
  <si>
    <t>08H</t>
  </si>
  <si>
    <t>09H</t>
  </si>
  <si>
    <t>Золотая Обезьяна</t>
  </si>
  <si>
    <t>10H</t>
  </si>
  <si>
    <t>Cлоновая Кость</t>
  </si>
  <si>
    <t>29Н</t>
  </si>
  <si>
    <t>Кенийский черный OP</t>
  </si>
  <si>
    <t>33H</t>
  </si>
  <si>
    <t>Цзинь Ло (Золотая улитка)</t>
  </si>
  <si>
    <t>Вьетнам BOP</t>
  </si>
  <si>
    <t>32H</t>
  </si>
  <si>
    <t>Кимун</t>
  </si>
  <si>
    <t xml:space="preserve">Китай FОР Юннань </t>
  </si>
  <si>
    <t>Английский завтрак</t>
  </si>
  <si>
    <t>Ассам TGFOP1</t>
  </si>
  <si>
    <t>ЧАЙ ЗЕЛЕНЫЙ АРОМАТИЗИРОВАННЫЙ</t>
  </si>
  <si>
    <t xml:space="preserve"> Дикая Вишня</t>
  </si>
  <si>
    <t>Зеленый байховый чай. Лепестки жасмина и каркаде, с ароматом пьяной вишни</t>
  </si>
  <si>
    <r>
      <t xml:space="preserve">Сказки Востока  </t>
    </r>
    <r>
      <rPr>
        <b/>
        <sz val="9"/>
        <color indexed="10"/>
        <rFont val="Arial"/>
        <family val="2"/>
        <charset val="204"/>
      </rPr>
      <t>NEW</t>
    </r>
  </si>
  <si>
    <t>Зеленый байховый чай с цукатами ананаса, гибискусом, лепестками розы, подсолнуха, василька и голубой мальвы</t>
  </si>
  <si>
    <t xml:space="preserve"> Жасминовый</t>
  </si>
  <si>
    <t>Зелёный китайский чай с цветками жасмина</t>
  </si>
  <si>
    <t xml:space="preserve"> Эрл Грей</t>
  </si>
  <si>
    <t>Зелёный байховый чай с ароматом бергамота. Рекомендуется пить без молока и сахара. Прекрасно сочетается с обильными закусками</t>
  </si>
  <si>
    <t xml:space="preserve"> Японский Лимон</t>
  </si>
  <si>
    <t>Зелёный байховый чай с корочками и ароматом лимона</t>
  </si>
  <si>
    <t xml:space="preserve"> Жемчужный</t>
  </si>
  <si>
    <t>Зеленый байховый чай с лепестками роз и ароматом персика</t>
  </si>
  <si>
    <t xml:space="preserve"> Китайская Мята</t>
  </si>
  <si>
    <t xml:space="preserve">Зелёный байховый чай с листьями и ароматом марокканской мяты. </t>
  </si>
  <si>
    <t xml:space="preserve"> Китайский Лимонник</t>
  </si>
  <si>
    <t>Зеленый байховый чай с добавлением лимонной травы и ароматом китайского лимонника</t>
  </si>
  <si>
    <t xml:space="preserve"> Земляника Лесная</t>
  </si>
  <si>
    <t>Зеленый байховый чай с ягодами и листочками лесной земляники, кожурой шиповника и ароматом земляники</t>
  </si>
  <si>
    <t xml:space="preserve"> Римские каникулы</t>
  </si>
  <si>
    <t>Смесь зеленого байхового чая и оолонга, цветы канадской ромашки, лепестки подсолнуха. Аромат  землянично- апельсиновый</t>
  </si>
  <si>
    <t xml:space="preserve"> Солнечное утро</t>
  </si>
  <si>
    <t>Зеленый байховый чай, лепестки подсолнуха, розы, василька. Аромат манго- ревеневый</t>
  </si>
  <si>
    <t xml:space="preserve"> Зеленые  Сливки</t>
  </si>
  <si>
    <t>Зеленый байховый чай с изысканным сливочным ароматом</t>
  </si>
  <si>
    <t xml:space="preserve"> Японская Липа</t>
  </si>
  <si>
    <t>Зелёный байховый чай с корочками лимона и цветками ромашки. С ароматом цитрусовых</t>
  </si>
  <si>
    <t xml:space="preserve"> Засахаренный миндаль</t>
  </si>
  <si>
    <t>Зелёный байховый чай с миндалем, корицей, цветками лайма. Аромат засахаренного миндаля</t>
  </si>
  <si>
    <t xml:space="preserve"> Восточный Базар</t>
  </si>
  <si>
    <t>Зеленый байховый чай с лепестками розы, цедрой японского лимона, цукатами тропических фруктов: ананаса, манго, киви и белого винограда. Аромат персик-лимон</t>
  </si>
  <si>
    <t xml:space="preserve"> Сердце Дракона</t>
  </si>
  <si>
    <t>Смесь из зеленого байхового чая, лимонной травы, мелиссы, цветков сафлора, алтея, мальвы, лайма и кожуры шиповника. Нежный сливочно-персиковый аромат</t>
  </si>
  <si>
    <t xml:space="preserve"> Восточный Коктейль</t>
  </si>
  <si>
    <t>Смесь зелёных байховых чаев, с лепестками василька, розы, сафлора, подсолнуха. Аромат роза- манго.</t>
  </si>
  <si>
    <t xml:space="preserve"> Зеленый Кактус</t>
  </si>
  <si>
    <t>Зелёный байховый чай с лепестками кактуса. Аромат карамельно- дынный</t>
  </si>
  <si>
    <t xml:space="preserve"> Зеленый Страна Эльфов</t>
  </si>
  <si>
    <t>Зелёный байховый чай с лепестками розы и ароматом сладкого грейпфрута</t>
  </si>
  <si>
    <t xml:space="preserve"> Зеленая Карамель</t>
  </si>
  <si>
    <t>Зелёный байховый чай с кусочками тростникового сахара и лепестками сафлора. Аромат молочной карамели</t>
  </si>
  <si>
    <t xml:space="preserve"> Зеленый Датский</t>
  </si>
  <si>
    <t>Зелёный байховый чай с ягодами малины и земляники и ароматом земляничного ликера</t>
  </si>
  <si>
    <t xml:space="preserve"> Зеленая Леди</t>
  </si>
  <si>
    <t>Зелёный байховый чай с цедрой апельсина и цитрона. Аромат сливочно-земляничный, послевкусие грейпфрута.</t>
  </si>
  <si>
    <t xml:space="preserve"> Зеленый Дух</t>
  </si>
  <si>
    <t>Зелёный байховый чай, лепестки розы, подсолнуха и василька. Аромат цветочно- фруктовый: роза- манго- бергамот.</t>
  </si>
  <si>
    <t xml:space="preserve"> Зеленый женьшеневый с ананасом</t>
  </si>
  <si>
    <t>Смесь зелёных байховых чаев, кусочки ананаса и корня женьшеня. Аромат женьшеня и ананаса.</t>
  </si>
  <si>
    <t xml:space="preserve"> Чай Таёжный зеленый</t>
  </si>
  <si>
    <t>Зелёный байховый чай , марокканская мята, с вишневым ароматом</t>
  </si>
  <si>
    <t xml:space="preserve"> Драгоценный ларец</t>
  </si>
  <si>
    <t>Зелёный байховый чай, ягоды земляники, ананасовые цукаты, лепестки календулы. Аромат: Ананасовый.</t>
  </si>
  <si>
    <t>Имбирный</t>
  </si>
  <si>
    <t>Зелёный байховый чай, лимонная трава, кусочки имбиря, корочки апельсина, лепестки розы, календулы, с ароматом имбиря и апельсина</t>
  </si>
  <si>
    <t>Экзотический рай</t>
  </si>
  <si>
    <t>Зелёный байховый чай, кокосовые чипсы, листья ежевики, лепестки розы, календулы, подсолнечника, василька, с ароматом экзотических фруктов</t>
  </si>
  <si>
    <t>Нежная камелия</t>
  </si>
  <si>
    <t>Зелёный байховый чай, кусочки яблок, зёрна граната, лепестки розы и граната, с ароматом граната</t>
  </si>
  <si>
    <t xml:space="preserve">  Рапсодия</t>
  </si>
  <si>
    <t>Зелёный байховый чай, лимонная трава, мята, ягоды облепихи, лесной малины, цветки ромашки, жасмина, лайма, лепестками мальвы, кожура шиповника и цедра апельсина. Аромат апельсиново- ромашковый.</t>
  </si>
  <si>
    <t xml:space="preserve"> Саусеп зеленый</t>
  </si>
  <si>
    <t>Зеленый байховый чай с ароматом сметенного яблока</t>
  </si>
  <si>
    <t>ЧАЙ  ФРУКТОВЫЙ</t>
  </si>
  <si>
    <r>
      <t xml:space="preserve">Абрикос Великолепный </t>
    </r>
    <r>
      <rPr>
        <b/>
        <sz val="9"/>
        <color indexed="10"/>
        <rFont val="Arial"/>
        <family val="2"/>
        <charset val="204"/>
      </rPr>
      <t>NEW</t>
    </r>
  </si>
  <si>
    <t>Фруктовая смесь : кусочки абрикоса,  яблоки, кожура шиповника, каркаде, листья смородины</t>
  </si>
  <si>
    <t xml:space="preserve"> Вишневый Пунш</t>
  </si>
  <si>
    <t>Фруктовая смесь:  яблоки, кожура шиповника, каркаде, ягоды черного винограда и вишни, аромат вишни с косточкой.</t>
  </si>
  <si>
    <t xml:space="preserve"> Сливочно-Земляничный</t>
  </si>
  <si>
    <t>Фруктовая смесь,: яблоки, кожура шиповника, каркаде, ягоды земляники, аромат сливочно земляничный</t>
  </si>
  <si>
    <t xml:space="preserve"> Гавайский Коктейль</t>
  </si>
  <si>
    <t>Фруктовая смесь: Сушеное светлое яблоко, лепестки каркаде, кожура шиповника,изюм,цукаты ананаса,папаий,кусочки кураги.Аромат: ром,клубника</t>
  </si>
  <si>
    <t xml:space="preserve"> Любовная Смесь</t>
  </si>
  <si>
    <t>Фруктовая смесь: яблоки, кожура шиповника, каркаде, корочки апельсина, цветки голубой мальбы, лепестки календулы, аромат землянично- апельсиновый</t>
  </si>
  <si>
    <t xml:space="preserve"> Красная Роза Занзибара</t>
  </si>
  <si>
    <t xml:space="preserve">Фруктовая смесь: каркаде, ягоды черники, бузины, черной смородины и винограда, аромат виноград-смородина </t>
  </si>
  <si>
    <t xml:space="preserve"> Чудо-Ягода</t>
  </si>
  <si>
    <t>Фруктовая смесь: яблоки, кожура шиповника, каркаде, ягоды черники и бузины, листочки черной смородины и земляники, аромат лесных ягод.</t>
  </si>
  <si>
    <t>Фруктовая смесь: жареное яблоко, лепестки каркаде, кожура шиповника, цукаты ананаса, папаий, ягоды малины, вишни, черного винограда. Аромат: вишня, малина</t>
  </si>
  <si>
    <t>Черная Ягода</t>
  </si>
  <si>
    <t>Фруктовая смесь: гибискус, кусочки яблок, листья стевии, ежевики, чёрной смородины, кусочки земляники и малины, лепестки василька с ароматом ягодного ассорти</t>
  </si>
  <si>
    <t>Карибский Сон Любви</t>
  </si>
  <si>
    <t>Фруктовая смесь: кусочки яблок, банановые  и кокосовые чипсы, лимонная трава, цукаты ананаса, лепестки календулы и розы, листья бамбука с ароматом ананаса и банана.</t>
  </si>
  <si>
    <t xml:space="preserve"> Каркаде</t>
  </si>
  <si>
    <t>Каркаде относиться к семейству мальвовых. Крупные цветки, ярко-красные  с темно-фиолетовым венчиком снаружи , темно-пурпурным внутри</t>
  </si>
  <si>
    <t xml:space="preserve"> Ореховая Фантазия</t>
  </si>
  <si>
    <t>Фруктовая смесь: яблоки, кожура шиповника, каркаде, крошка лесного ореха, миндаля, аромат ореховый</t>
  </si>
  <si>
    <t xml:space="preserve"> Цветок Джунглей</t>
  </si>
  <si>
    <t>Фруктовая смесь: яблоки, кожура шиповника, каркаде, цветки голубой мальвы, лепестки подсолнуха, цукаты маракуйи, ананаса, манго. Аромат маракуйя- манго-персик</t>
  </si>
  <si>
    <t xml:space="preserve"> Фруктовый сад</t>
  </si>
  <si>
    <t>Фруктовая смесь: сушеное светлое яблоко, кожура шиповника, лепестки каркаде, ягоды бузины, черной смородины, ежевики, листики ежевики. Аромат: Ежевика,смородина.</t>
  </si>
  <si>
    <t>ЧАЙ ЧЕРНЫЙ АРОМАТИЗИРОВАННЫЙ</t>
  </si>
  <si>
    <t>Чёрный байховый чай, с ароматом бергамота. Рекомендуется пить без молока и сахара</t>
  </si>
  <si>
    <t>Черный байховый чай с ягодами садовой земляники и лепестками красного сафлора, с ароматом земляники.</t>
  </si>
  <si>
    <t>Черный байховый чай с сушеными ягодами вишни, с ароматом вишни.</t>
  </si>
  <si>
    <t xml:space="preserve"> Бейлис Крем</t>
  </si>
  <si>
    <t>Черный байховый чай с добавлением крошки плодов какао и чудесным ароматом ирландского ликера</t>
  </si>
  <si>
    <t xml:space="preserve"> Лесная Ягода</t>
  </si>
  <si>
    <t>Ягоды черной и красной смородины, можжевельника, листочки ежевики в сочетании с черным байховый чаем..Аромат лесных ягод.</t>
  </si>
  <si>
    <t xml:space="preserve"> Земляника со сливками</t>
  </si>
  <si>
    <t>Ягоды и листочки садовой земляники в сочетании с черным байховым чаем. Изысканный аромат сливок и земляники</t>
  </si>
  <si>
    <t>Черный байховый чай, кусочки корня имбиря, лепестки календула и сафлора. Аромат имбирный.</t>
  </si>
  <si>
    <t>Сказки Шахеризады</t>
  </si>
  <si>
    <t xml:space="preserve"> Граф Монте- Кристо</t>
  </si>
  <si>
    <t>Черный байховый чай, апельсиновые корочки, лепестки красного сафлора, цукаты ананаса с ароматом апельсина</t>
  </si>
  <si>
    <t xml:space="preserve"> Эрл Грей Синий</t>
  </si>
  <si>
    <t xml:space="preserve">Чёрный байховый чай, лепестки василька.с ароматом бергамота </t>
  </si>
  <si>
    <t xml:space="preserve"> Сливочная Ваниль</t>
  </si>
  <si>
    <t>Черный байховый чай, с чипсами миндаля, со сливочно-карамельным ароматом</t>
  </si>
  <si>
    <t xml:space="preserve"> Тирамису</t>
  </si>
  <si>
    <t>Черный байховый чай, крошка какао, кусочки белого шоколада, ваниль, засахаренные лесные орешки. с ароматом «Тирамису».</t>
  </si>
  <si>
    <t>Черный байховый чай, засахаренные орешки макадамии, крошка какао, кусочки белого шоколада, с ароматом трюфеля</t>
  </si>
  <si>
    <t xml:space="preserve"> Богородский</t>
  </si>
  <si>
    <t>Черный байховый чай с чабрецом. Аромат пряный</t>
  </si>
  <si>
    <t xml:space="preserve"> Татарский</t>
  </si>
  <si>
    <t>Смесь чёрного и зеленого чая , трава чабреца, мяты. Обладает защитным противовоспалительным и противопростудным действием</t>
  </si>
  <si>
    <t>Черный байховый чай, листья марокканской мяты. Аромат мятный.</t>
  </si>
  <si>
    <t>Смесь черных байховых чаев, плоды таежного можжевельника, листья перечной мяты</t>
  </si>
  <si>
    <t xml:space="preserve"> Шантимель</t>
  </si>
  <si>
    <t>Черный байховый чай, кусочки яблока, корица, гвоздика, «красные сердечки» и «серебряные шарики» из сахарной глазури. С ароматом яблока и корицы</t>
  </si>
  <si>
    <t>Черносмородиновый ликер</t>
  </si>
  <si>
    <t>Чёрный байховый чай, кусочки яблок, ягоды аронии, черной смородины, воздушный рис, ягоды чёрной аронии и смородины, лепестки розы и василька, с ароматом шампанского и чёрной смородины</t>
  </si>
  <si>
    <t>Шоколадный Сон</t>
  </si>
  <si>
    <t>Чёрный байховый чай, жареный мате, кусочки корицы, семена фенхеля, розмарин, крошка какао, лепестки подсолнечника, гвоздичный перец, с ароматом шоколада и трюфеля.</t>
  </si>
  <si>
    <t>Экзотический цветок</t>
  </si>
  <si>
    <t>Чёрный байховый чай, кусочки яблок, цукаты ананаса, манго, листья бамбука, лепестки розы, зёрна малины, с ароматом ананаса и абрикоса.</t>
  </si>
  <si>
    <t>Лимонный Фреш</t>
  </si>
  <si>
    <t>Чёрный байховый чай, лимонная трава, кусочки яблок, корочка лимона, розмарин, лепестки подсолнечника с ароматом розмарина и лимона</t>
  </si>
  <si>
    <t xml:space="preserve"> Массала</t>
  </si>
  <si>
    <t>Черный байховый чай, пряности, лепестки шафрана. Аромат пряностей. Рекомендуется пить с молоком и сахаром (медом).</t>
  </si>
  <si>
    <t xml:space="preserve"> Аленький цветочек</t>
  </si>
  <si>
    <t>Черный байховый чай, ягоды земляники и ежевики, лепестки розы и мальвы.</t>
  </si>
  <si>
    <r>
      <t xml:space="preserve">Царская Роза </t>
    </r>
    <r>
      <rPr>
        <b/>
        <sz val="9"/>
        <color indexed="10"/>
        <rFont val="Arial"/>
        <family val="2"/>
        <charset val="204"/>
      </rPr>
      <t>NEW</t>
    </r>
  </si>
  <si>
    <t>Смесь черного и зеленого байхового чая, цукаты ананаса, папайи, изюма, лепестки календулы, голубой мальвы и розы</t>
  </si>
  <si>
    <r>
      <t xml:space="preserve">Клюква в сахаре </t>
    </r>
    <r>
      <rPr>
        <b/>
        <sz val="9"/>
        <color indexed="10"/>
        <rFont val="Arial"/>
        <family val="2"/>
        <charset val="204"/>
      </rPr>
      <t>NEW</t>
    </r>
  </si>
  <si>
    <t>Черный байховый чай с ягодами клюквы и малины.</t>
  </si>
  <si>
    <r>
      <t xml:space="preserve">Клубника в шампанском </t>
    </r>
    <r>
      <rPr>
        <b/>
        <sz val="9"/>
        <color indexed="10"/>
        <rFont val="Arial"/>
        <family val="2"/>
        <charset val="204"/>
      </rPr>
      <t>NEW</t>
    </r>
  </si>
  <si>
    <t>Черный байховый чай с ягодами земляники и клубники, листья черной смородины и василька.</t>
  </si>
  <si>
    <r>
      <t xml:space="preserve">Князь Волконский </t>
    </r>
    <r>
      <rPr>
        <b/>
        <sz val="9"/>
        <color indexed="10"/>
        <rFont val="Arial"/>
        <family val="2"/>
        <charset val="204"/>
      </rPr>
      <t xml:space="preserve"> NEW</t>
    </r>
  </si>
  <si>
    <t>Черный байховый чай с ягодами черной смородины, малины и черники, лепестки василька и красного сафлора.</t>
  </si>
  <si>
    <r>
      <t xml:space="preserve">Черничная поляна </t>
    </r>
    <r>
      <rPr>
        <b/>
        <sz val="9"/>
        <color indexed="10"/>
        <rFont val="Arial"/>
        <family val="2"/>
        <charset val="204"/>
      </rPr>
      <t>NEW</t>
    </r>
  </si>
  <si>
    <t>Черный байховый чай с ягодами черники, лепестками василька и листьями черной смородины.</t>
  </si>
  <si>
    <t>Черный байховый чай, кожура шиповника, лепестки каркаде</t>
  </si>
  <si>
    <t>ЧАЙ ЗЕЛЕНЫЙ ПЛАНТАЦИЯ</t>
  </si>
  <si>
    <t xml:space="preserve"> Порох "Храм неба"</t>
  </si>
  <si>
    <t>Классический самый известный китайский зелёный чай. Молодые нежные листья скручены в маленькие шарики - дробинки. Крепкий, слегка вяжущий вкус с фруктовым ароматом. Прекрасно освежает и утоляет жажду. Хорошо способствует пищеварению</t>
  </si>
  <si>
    <t xml:space="preserve"> Сенча</t>
  </si>
  <si>
    <t>Наиболее распространённый в Японии зелёный плющенный чай. Изысканный и нежный, присущий только японским чаям, вкус с приятным послевкусием свежести. Богат витамином С. Оказывает мягкое тонизирующее воздействие на сердечную мышцу. Замедляет процессы старения клеток.</t>
  </si>
  <si>
    <t>Китайский зеленый чай, скрученный в виде маленькой улитки. Классический вкус зеленого чая, терпкий с легкой горчинкой.</t>
  </si>
  <si>
    <t>«Японский рис»- распространенный японский специальный чай- смесь зеленого чая банча с поджаренным рисом и попкорном. Приятный вкус. Употребляется как дневной чай.</t>
  </si>
  <si>
    <t>Китайский белый чай из провинции Фуцзянь</t>
  </si>
  <si>
    <t xml:space="preserve"> Лунг Чинг "Колодец Дракона"</t>
  </si>
  <si>
    <t>Один из самых изысканных зелёных чаёв, почитаемых в Китае более тысячи лет. Выращивается в идеальных «чайных» климатических условиях провинции Чжецзянь. Плоские листья красивой формы дают светлый ароматный настой цвета зелёного нефрита. Незабываемый обволакивающий вкус с приятным сладким послевкусием. Тонкий аромат грецкого ореха. Хорошо стимулирует умственную деятельность, пробуждает творческие силы. Особо ценен для тех, кто занимается интеллектуальным трудом.</t>
  </si>
  <si>
    <t xml:space="preserve"> Глаз Феникса Жасминовый</t>
  </si>
  <si>
    <t>Китайский зеленый чай из провинции Фуцзянь по форме напоминающий птичий глаз. Верхний побег чайного куста вместе с почкой и верхним листочком скручиваются вручную и ароматизируются свежими цветами жасмина. У чая легкий и приятный вкус. Богат витаминами, полезен для здоровья.</t>
  </si>
  <si>
    <t xml:space="preserve"> Зеленый Жемчуг Дракона</t>
  </si>
  <si>
    <t>Два - три молодых чайных побега с верхним, ещё не распустившимся листочком- почкой, покрытым нежным белым пушком, скручиваются вручную в шарик, напоминающий драгоценный жемчуг. Богат витаминами и антиоксидантами</t>
  </si>
  <si>
    <t xml:space="preserve"> Кокейча</t>
  </si>
  <si>
    <t>Оригинальный японский зелёный чай, который вначале измельчают до состояния пудры, а затем прессуют в листочки, напоминающие по форме ёловую иголку. Нежный аромат, присущий японским чаям, обволакивающий и свежий вкус. Оказывает мягкое тонизирующее воздействие на сердечную мышцу. Богат витамином С.</t>
  </si>
  <si>
    <t xml:space="preserve">Воробьиные язычки </t>
  </si>
  <si>
    <t>Китайский элитный зелёный чай из провинции Фуцзянь.по форме напоминают «воробьиные язычки» серебристо-зелёного цвета Прозрачный настой, крепкий вкус с небольшой кислинкой и свежий, долгий аромат прекрасно дополняют изысканную уборку этого чая. Рекомендуется пить в первой половине дня, но не натощак</t>
  </si>
  <si>
    <t xml:space="preserve"> Жемчужина Дракона "Молочная"</t>
  </si>
  <si>
    <t>Два - три молодых чайных побега с верхним, ещё не распустившимся листочком- почкой, покрытым нежным белым пушком, скручиваются вручную в шарик, напоминающий драгоценный жемчуг. После этого чаю придается молочный аромат</t>
  </si>
  <si>
    <t xml:space="preserve"> Жемчужина Дракона Жасминовая</t>
  </si>
  <si>
    <t>Два - три молодых чайных побега с верхним, ещё не распустившимся листочком- почкой, покрытым нежным белым пушком, скручиваются вручную в шарик, напоминающий драгоценный жемчуг. После этого чай многократно пропитывается ароматом цветков жасмина. Пить этот изысканный чай, доступный в древние времена только китайским императорам, - незабываемое наслаждение</t>
  </si>
  <si>
    <t xml:space="preserve"> Китай Линь Юн  Белый Пух</t>
  </si>
  <si>
    <t>Зеленый китайский чай из провинции Хунаннь, ароматизированный натуральными цветами жасмина, в качестве сырья использованы почка и первый лист. Высокое содержание теанина, повышает тонус, оказывает психостимулирующие воздействие на организм человека.</t>
  </si>
  <si>
    <t xml:space="preserve"> Шарик Невесты жасминовый</t>
  </si>
  <si>
    <t>Шар в Китае - символ любви. В китайских семьях, невеста, выбирая жениха, бросает ему шелковый шарик. Чай «Шарик Невесты»- это связанные по особой технологии листочки высококачественного чая Гу Джан. Насыщенный вкус и стойкий аромат сделали этот чай популярным для торжественных церемоний, нравится молодым девушкам - будущим невестам. Ароматизирован жасмином</t>
  </si>
  <si>
    <t xml:space="preserve"> Шарик Невесты роза</t>
  </si>
  <si>
    <t>Шар в Китае - символ любви. В китайских семьях, невеста, выбирая жениха, бросает ему шелковый шарик. Чай «Шарик Невесты» - это связанные по особой технологии листочки высококачественного чая Гу Джан с добавлением цветка клевера. Насыщенный вкус и стойкий аромат сделали этот чай популярным для торжественных церемоний. Чай популярен среди будущих невест.</t>
  </si>
  <si>
    <t>Китайский зеленый вязаный чай из провинции Фуцзянь. Нежные, гладкие чайные шарики с вплетенными в них цветками персика, обладает эстетическим видом и нежным, мягким вкусом. После заваривания шар превращается в розу, каждый лепесток которой, нежная чаинка. В центре чайной розы раскрывается цветок персика</t>
  </si>
  <si>
    <t xml:space="preserve"> Белый Жемчуг Дракона</t>
  </si>
  <si>
    <t>Китайский зеленый вязаный чай в виде шарика с ввязанной внутри гирляндой цветка календулы и жасмина, с ароматом жасмина.</t>
  </si>
  <si>
    <t xml:space="preserve"> Зеленый Дракон</t>
  </si>
  <si>
    <t>Китайский зеленый вязаный чай в виде снопика с ввязанным внутри цветком гвоздики Кабо. С ароматом гвоздики.</t>
  </si>
  <si>
    <t>Земляничный.Семь ангелов</t>
  </si>
  <si>
    <t>Китайский зелёный вязаный чай из провинции Фуцзянь в виде, подрезанного снизу, шарика. При заваривании шарик раскрывается в чайную розу, в центре которой находится цветок  красного клевера с выходящей из него стрелой из цветков жасмина. Всю эстетическую композицию дополняют мягкий вкус чая и соблазнительный аромат клубники</t>
  </si>
  <si>
    <t>Китайский зелёный вязаный чай  из провинции Фуцзянь в виде, подрезанного снизу, шарика. При заваривании шарик раскрывается в корзиночку из чайных листиков, в центре которой, находится цветок красного клевера. Арка из цветков жасмина служит ручкой корзиночки. Утончённый эстетический вид, мягкий вкус и аромат Лиджи, доставляют огромное удовольствие</t>
  </si>
  <si>
    <r>
      <t xml:space="preserve">Серебряные Иглы             Цзинь Сы Инь Го  </t>
    </r>
    <r>
      <rPr>
        <sz val="9"/>
        <color indexed="10"/>
        <rFont val="Arial"/>
        <family val="2"/>
        <charset val="204"/>
      </rPr>
      <t xml:space="preserve"> </t>
    </r>
    <r>
      <rPr>
        <b/>
        <sz val="9"/>
        <color indexed="10"/>
        <rFont val="Arial"/>
        <family val="2"/>
        <charset val="204"/>
      </rPr>
      <t xml:space="preserve">NEW </t>
    </r>
  </si>
  <si>
    <t>Китайский элитный белый чай  из провинции Фуцзянь. Чай впервые был изготовлен в конце XVIII века. Серебряные чаинки, крупные, покрытые пушком. При заваривании чай имеет золотистый настой, мягкий без терпкости вкус с ароматом гречишного меда. Чай великолепен для утреннего чаепития, т.к. технология производства этого чая позволяет сохранить практически все полезные водорастворимые химические соединения находящиеся в чайном сырье.</t>
  </si>
  <si>
    <r>
      <t xml:space="preserve">Серебряные Стрелы            Бай Хао Инь Чжень </t>
    </r>
    <r>
      <rPr>
        <b/>
        <sz val="9"/>
        <color indexed="10"/>
        <rFont val="Arial"/>
        <family val="2"/>
        <charset val="204"/>
      </rPr>
      <t>NEW</t>
    </r>
  </si>
  <si>
    <t>Китайский зеленый игольчатый чай из провинции Фуцзянь. На производство идут только почка и первый лист, плотно обнимающие друг друга. Чай серебристо-зеленого цвета, при заваривании образует настой золотисто-соломенный цвет с розовым оттенком. Приятный мягкий вкус, сладковатый с «сухостью» и медовым нежным ароматом.</t>
  </si>
  <si>
    <r>
      <t xml:space="preserve">Главарь из Хоу Пина        Тай Пин Хоу Куй </t>
    </r>
    <r>
      <rPr>
        <b/>
        <sz val="10"/>
        <color indexed="10"/>
        <rFont val="Arial"/>
        <family val="2"/>
        <charset val="204"/>
      </rPr>
      <t>NEW</t>
    </r>
  </si>
  <si>
    <t>Китайский элитный плоский зеленый чай из провинции Аньхой, уезд Тайпин, горный район Хоу Кен. Плантации расположены на высоте 1800 м. под уровнем моря. Чай отличается удивительной формой плоских чаинок , тонких как лезвие, при заваривании получается настой изумрудного цвета, с мягким, но терпким вкусом. Аромат хвойно-крапивный с оттенком ореховых нот.</t>
  </si>
  <si>
    <r>
      <t xml:space="preserve">Бирюзовый Чай               Шен Тай Люй Ча </t>
    </r>
    <r>
      <rPr>
        <b/>
        <sz val="10"/>
        <color indexed="10"/>
        <rFont val="Arial"/>
        <family val="2"/>
        <charset val="204"/>
      </rPr>
      <t>NEW</t>
    </r>
  </si>
  <si>
    <t>Китайский зеленый спиральный чай из провинции Сычуань. Темно-зеленого цвета. При заваривании дает красивый цвет желтого изумруда. Вкус - терпкий, обволакивающий, со сладким послевкусием. Аромат – глубокий с нотами грецкого ореха.</t>
  </si>
  <si>
    <r>
      <t xml:space="preserve">Органический Белый Жемчуг </t>
    </r>
    <r>
      <rPr>
        <b/>
        <sz val="9"/>
        <color indexed="10"/>
        <rFont val="Arial"/>
        <family val="2"/>
        <charset val="204"/>
      </rPr>
      <t>NEW</t>
    </r>
  </si>
  <si>
    <t>Китайский зеленый чай из провинции Фуцзянь, собирается в экологически чистом районе. Чаинки скручены в большие жемчужины. Золотистый настой, мягкий, но терпкий вкус  и нежный фруктовый аромат</t>
  </si>
  <si>
    <r>
      <t xml:space="preserve">Сосновые Иглы                        Юй Хуа Чжень   </t>
    </r>
    <r>
      <rPr>
        <b/>
        <sz val="9"/>
        <color indexed="10"/>
        <rFont val="Arial"/>
        <family val="2"/>
        <charset val="204"/>
      </rPr>
      <t>NEW</t>
    </r>
  </si>
  <si>
    <t>Китайский элитный зеленый игольчатый чай из провинции Цзянсу. Собирается в районе под названием «Террасы цветочных дождей». Впервые был произведен в 1958 г. Входит в десятку Знаменитых чаев Китая. Внешне напоминает сосновую иголку, золотисто-желтый настой, терпкий со сладостью вкус и свежий аромат с тонкими цветочными нотками.</t>
  </si>
  <si>
    <t>МАТЕ, РОЙБУШ</t>
  </si>
  <si>
    <t xml:space="preserve"> Мате зеленый</t>
  </si>
  <si>
    <t>100% зеленый мате. Латиноамериканский чайный напиток. Содержит кофеин и  теобромин. Заваривается до трех раз</t>
  </si>
  <si>
    <t xml:space="preserve"> Мате Салида дель Соль</t>
  </si>
  <si>
    <t>Зеленый мате , лимонная трава. Латиноамериканский чайный напиток с ароматом лимона, Содержит кофеин и теобромин.</t>
  </si>
  <si>
    <r>
      <t xml:space="preserve">Ройбуш Миндальный восторг </t>
    </r>
    <r>
      <rPr>
        <b/>
        <sz val="9"/>
        <color indexed="10"/>
        <rFont val="Arial"/>
        <family val="2"/>
        <charset val="204"/>
      </rPr>
      <t>NEW</t>
    </r>
  </si>
  <si>
    <t>Зелёный ройбуш, миндальные слайсы, лепестки розы</t>
  </si>
  <si>
    <t xml:space="preserve"> Ройбуш Сливочно- земляничный</t>
  </si>
  <si>
    <t>Ройбуш, кусочки земляники, листья ежевики. С ароматом сливочно-земляничным</t>
  </si>
  <si>
    <t xml:space="preserve"> Ройбуш Крем-Карамель</t>
  </si>
  <si>
    <t xml:space="preserve">Ройбуш, кусочки карамели, лепестки красного сафлора, с ароматом крем- карамели. Южноафриканский напиток без кофеина </t>
  </si>
  <si>
    <t>ЧАЙ ТРАВЯНОЙ</t>
  </si>
  <si>
    <t>Травяной сбор из соцветий ромашки</t>
  </si>
  <si>
    <t>Травяная смесь из соцветий ромашки, апельсина, мальвы, лимонной травы, мяты, кожуры цитрусовых и шиповника. С ароматом апельсина.</t>
  </si>
  <si>
    <t>Свежесть</t>
  </si>
  <si>
    <t>Травяная смесь: зелёный и красный ройбуш, зелёный чай, хонибуш, лапачо, кусочки имбиря, лимонная трава с ароматом кардамона.</t>
  </si>
  <si>
    <t>Лесная фея</t>
  </si>
  <si>
    <t xml:space="preserve">Травяная смесь из мелисы, чабера, фенхеля, мяты перечной, жасмина, майорана, шиповника, ромашки, календулы, эвкалипта, аниса, василька. </t>
  </si>
  <si>
    <t xml:space="preserve"> Любовная смесь</t>
  </si>
  <si>
    <t>Чайная смесь с травами: зеленый и красный байховой чай, смородиновый лист, мелисса, цветки жасмина, плоды фенхеля, апельсиновая корочка, лист эвкалипта</t>
  </si>
  <si>
    <t xml:space="preserve"> Лесная ягода</t>
  </si>
  <si>
    <t>Травяная смесь: апельсиновая корочка, плоды фенхеля, можжевельника, рябины, облепихи, цветки ромашки, кожура шиповника, смесь из 4 видов перца, кардамон</t>
  </si>
  <si>
    <t xml:space="preserve"> Афродита</t>
  </si>
  <si>
    <t>Травяная смесь: трава вербены, мелисы, перечной мяты, лимонная трава, лепестки календулы, кусочки звездочного аниса. Аромат: лимонно-мятный</t>
  </si>
  <si>
    <t xml:space="preserve"> Малиновая свежесть</t>
  </si>
  <si>
    <t>Травяная смесь: Листья мяты перечной, черной смородины, малины, кожура шиповника, ягоды малины. Аромат: малина, мята</t>
  </si>
  <si>
    <t>УЛОНГИ</t>
  </si>
  <si>
    <t xml:space="preserve"> Те Гуан Инь "Супериор"</t>
  </si>
  <si>
    <t>Материковый улун. По цвету сухого чая относится к бирюзовым чаям. Родиной является уезд Аньси провинции Фуцзянь. Форма скрутки, характерная для улунских чаев. После заваривания дает настой яркого, прозрачного светло-лимонного цвета. Вкус нежный, мягкий, приятный. Аромат долгий, полный цветочный с персиковым  послевкусием. Рекомендуется для использования в Китайской чайной церемонии. Заваривается несколько раз, сохраняя при этом вкусовые и ароматические показатели. Богат витаминами, Укрепляет ткани стенок кровеносных сосудов, предотвращает тромбофлебит, улучшает обмен веществ, способствует регенерации эпидермиса и уменьшению морщин, тем самым поддерживая хорошее состояние кожи; омолаживает тело. Повышает тонус, улучшает работу сердца и почек</t>
  </si>
  <si>
    <t xml:space="preserve"> Да Хун Пао-Больш.Красн.Импер.Халат</t>
  </si>
  <si>
    <t xml:space="preserve">Китайский элитный чай – Северо-материковый улун.Производят на севере провинции Фуцзянь, в области УИ, так называемый утёсный улун.Чаинки крупные, хорошо скрученные, чёрного цвета с красным оттенком, умеренно-огневой  прожарки. Обладает красивым  тёмно-медовым настоем, полным сбалансированным вкусом и многогранным ароматом, сочетая в нём сладкие, фруктовые, ванильные и медовые нотки. </t>
  </si>
  <si>
    <t xml:space="preserve"> Дун Дин</t>
  </si>
  <si>
    <t>Выращивается на Тайване. За счет островного микроклимата имеет вкус и аромат, отличающиеся от Фуцзяньских улунов. Иногда называют «голубым» по оттенку на краю листа. Получил название по горе, на склонах которой и растет. Произошел от деревьев пересаженных из Анси. Постоянно занимает первые места среди улунов на международных конкурсах. Интересен продвинутым любителям чая</t>
  </si>
  <si>
    <t>Красный китайский чай, обработанный вытяжкой из корня женьшеня. Снижает давление, уменьшает количество сахара в крови, нормализует работу сердечно- сосудистой системы, повышает иммунитет</t>
  </si>
  <si>
    <t>Китайский красный чай из провинции Фуцзянь. С приятным молочным ароматом. Прекрасный полезный чай, способствующий расщеплению жиров, улучшающий деятельность кровеносной системы</t>
  </si>
  <si>
    <t xml:space="preserve"> Фенг Хуан Дан Тсун</t>
  </si>
  <si>
    <t>Гуандунский улун. Родиной этого улуна являются Фениксовые горы уезда Чао Ань провинции Гуандун. Чай относится к группе красных чаёв. Цвет сухого чая – коричневый с желтым отливом, напоминает кожу угря. Лист прямой, скрученный, толстый, крупный. После заваривания дает яркий, прозрачный настой оранжево- желтого цвета. Вкус приятный, слабо вяжущий, запоминающийся. Аромат полный, долгий, цветочный. Так как чай является недоферментированным, то содержит много витаминов, кофеина и микроэлементов. При постоянном употреблении способствует укреплению стенок сосудов, является профилактическим средством при тромбофлебите и сердечно-сосудистой дистонии.</t>
  </si>
  <si>
    <t>Юй Лу-Нефритовая Роса</t>
  </si>
  <si>
    <t>Тайваньский улун, бирюзовый чай. Форма скрутки, характерная для улунов. Цвет сухого чая варьирует от светло-зеленого до темно-зеленого. После заваривания образует настой яркий, прозрачный, светло-желтого цвета. Вкус нежный, терпкий. Аромат полный, долгий, цветочный. Заваривается несколько раз, аромат при этом сохраняется. Очень полезный чай. При постоянном употреблении улучшает обмен веществ, поддерживает хорошее состояние кожи, уменьшает морщины, способствует омолаживанию организма</t>
  </si>
  <si>
    <t xml:space="preserve"> Формоза Улонг Восточная Красавица</t>
  </si>
  <si>
    <t>Тайваньский улун - красный чай. Крупнолистовой чай красновато-коричневого цвета с серебристой почкой, дает настой апельсиново – красный (янтарь) с ароматом спелых фруктов и едва уловимым ароматом чайной розы. На международном рынке почетно называется «шампанским оолонгом», таким образом, оценивают его особый аромат и красивый цвет. Если в чайный настой добавить несколько капель коньяка, то вкус становиться волшебно – манящим</t>
  </si>
  <si>
    <t>ЧЕРНЫЙ</t>
  </si>
  <si>
    <t>Ассам  TGFOP1 (№17)</t>
  </si>
  <si>
    <t>Чёрный байховый чай из индийской провинции Ассам. Вкус крепкий, полный, без горечи, с лёгким сладковатым ячменным привкусом, что свойственно лучшим ассамским чаям</t>
  </si>
  <si>
    <t>Цейлон ОР1</t>
  </si>
  <si>
    <t>Цейлонский черный байховый чай. Крепкий классический вкус, богатый насыщенный аромат. Прекрасно сопровождает десерты. Можно добавлять немного холодного молока по вкусу</t>
  </si>
  <si>
    <t>Цейлон высокогорный Английский завтрак</t>
  </si>
  <si>
    <t>Высокогорный цейлонский ломанный (broken) чай, крепкий и полный вкус, рекомендуется для утреннего чаепития.</t>
  </si>
  <si>
    <t>Черный байховый чай с одной из знаменитых плантаций индийского штата Дарджилинг. Чай весеннего урожая с большим количеством серебристых почек. Дает более насыщенный и крепкий, по сравнению с 1м сбором, цвет и вкус настоя</t>
  </si>
  <si>
    <t>Юннань  FОР</t>
  </si>
  <si>
    <t>Знаменитый китайский черный байховый чай из провинции Юньнань, в котором утонченный аромат сушеных фруктов сочетается с крепостью настоя, богатым и полным вкусом</t>
  </si>
  <si>
    <t>Лапсанг Сушонг</t>
  </si>
  <si>
    <t>Умеренно копченый китайский черный байховый чай, получаемый при сушке чайных листьев на открытом огне из сосновых дров. Хорошо сочетается с солеными, острыми блюдами и сыром</t>
  </si>
  <si>
    <t>Знаменитый байховый черный чай из провинции Юньнань приготовленный по оригинальной технологии, дающей «бархатный» настой и характерный фруктовый аромат сушеной сливы</t>
  </si>
  <si>
    <t>Золотая Улитка</t>
  </si>
  <si>
    <t>Китайский элитный чёрный байховый чай из провинции ЮньнаньЧаинки темно шоколадного цвета с пушистыми золотистыми типсами, 
по форме напоминающие маленьких улиток.Чай обладает красивым бархатным настоем, мягким вкусом и тонким ароматом кураги и мёда. Мягкое воздействие на организм, позволяет пить этот чай в послеполуденное время</t>
  </si>
  <si>
    <t>Юаншенг Чай с натурального древнего чаного Дерева</t>
  </si>
  <si>
    <t xml:space="preserve">Китайский элитный чёрный чай из провинции ЮньнаньЧайное сырье собирается с плантации древних чайных деревьев, возраст которых превышает 100 лет. Площадь плантаций составляет всего 200 га, расположенных в области Пу Эр, горы Уляншань, природоохраняемой зоны. Чай разработан совместно с чайными специалистами провинции Юньнань и Гуандун в Ляньцзянском центре разработок и внедрения императорской продукции. Использована новая оригинальная технология, сочетающая в себе технику переработки утесных улунов и шеен-пуэровЧаинки крупные, толстые, длинные ,красиво изогнутые шоколадного цвета с золотистыми типсами. Прозрачный настой цвета коньяка, бархатный, гладкий, но терпкий вкус и аромат черного шоколада.
Чай является женским, т.к. имеет эффект снижения веса (эффект похудания), а также рекомендуется людям среднего и пожилого возраста(регулирует работу желудка).
Китайские специалисты характеризуют его качественные показатели, как «из горького и терпкого сделать сладкое и кислое».Впервые на чайном рынке Китая продукт произведен в 2011 году.
</t>
  </si>
  <si>
    <t>Тай Му Цзинь Хоу Золотовласая обезьяна</t>
  </si>
  <si>
    <t xml:space="preserve">Китайский элитный чёрный байховый чай из провинции ФуцзяньЧай имеет красивую, запоминающуюся уборку: длинные, волнообразные чаинки, туго скрученные по продольной оси, чёрного цвета с золотистыми типсами.
Красивый рубиновый настой, мягкий с небольшой кислинкой вкус и яркий ягодный аромат, где чувствуются малиновые и смородиновые ноты, сделают Вас навсегда поклонником этого удивительного чая
</t>
  </si>
  <si>
    <t>Джин Джин Мей Золотые брови</t>
  </si>
  <si>
    <t>Китайский элитный чёрный байховый чай, класса премиум, из провинции Фуцзянь,область Уи.Чаинки тонкие, изящные, блестящие чёрного цвета с золотистыми типсами напоминают ресницы красавицы. Богатый красный настой с полным вкусом и тонким фруктовым ароматом, где переплетаются сливовые и черешневые ноты, надолго запомнятся истинным ценителям крепких чаёв. Утреннее чаепитие с этим чаем доставит Вам огромное удовольствие</t>
  </si>
  <si>
    <t xml:space="preserve">Элитный китайский черный байховый чай из провинции Юньнань очень высокого качества. В качестве сырья для этого чая используется только почка . За крепость настоя и богатый полный вкус его часто называют «чайный мокко». Данный чай известен так же под названием «Юньнань Файнест».                 </t>
  </si>
  <si>
    <t xml:space="preserve">ПУ ЭР  </t>
  </si>
  <si>
    <t>Китай Пу Эр</t>
  </si>
  <si>
    <t>Легендарный китайский чёрный байховый чай, известный своими лечебными свойствами. Вкус густой, обволакивающий, со специфическим «землистым» ароматом (прелая листва).</t>
  </si>
  <si>
    <t xml:space="preserve">Китайский элитный  чай, особый сорт Пу Эра, из провинции Юньнань.Чаинки  этого Пу Эра представляют собой цельные почки серебристо-кремового цвета с перламутровым  оттенком, покрытые густым , гладким , шелковистым ворсом, напоминающие «колосок». Сырьё для этого чая собирается в конце февраля.
Чай заваривается многократно, цвет настоя, вкус и аромат меняются с каждой новой заваркой. Приятная сладость и тонкий аромат свежести и полевых цветов будут сопровождать Вас на всём протяжении чаепития. Чай «Белый Пу Эр» поистине чай для гурманов и интеллектуалов.
</t>
  </si>
  <si>
    <t>Пу Эр Молочный</t>
  </si>
  <si>
    <t>Чёрный  байховый чай, лепестки красной лилии, гвоздики с молочным ароматом</t>
  </si>
  <si>
    <t>Пу Эр в мандарине</t>
  </si>
  <si>
    <t>Китайский чёрный чай Пу Эр, приготовленный в мандариновой кожуре,  из провинции Юньнань. Имеет необыкновенный внешний вид, изысканный аромат и необычный вкус. Чай обладает всеми полезными свойствами рассыпного Пу Эра.</t>
  </si>
  <si>
    <t>16F</t>
  </si>
  <si>
    <t>Ройбуш Дынный шейк</t>
  </si>
  <si>
    <t>Цена 1 кг с НДС</t>
  </si>
  <si>
    <t>Отсрочка 14кд</t>
  </si>
  <si>
    <t>Предоплата</t>
  </si>
  <si>
    <t>Лепестки роз, подсолнуха и василька, смесь черного и зеленого байхового чая. Аромат садовых ягод</t>
  </si>
  <si>
    <t>Лепестки подсолнуха, жасмина и розы, смесь черного и зеленого байхового чая. Аромат маракуйи и клубники.</t>
  </si>
  <si>
    <t>35H</t>
  </si>
  <si>
    <t>Молочный Пу зр</t>
  </si>
  <si>
    <t>91А</t>
  </si>
  <si>
    <t>Чай черный барбарис</t>
  </si>
  <si>
    <t>92А</t>
  </si>
  <si>
    <t>Чай брусничный</t>
  </si>
  <si>
    <t>93А</t>
  </si>
  <si>
    <t>Чай Кола-лайм</t>
  </si>
  <si>
    <t>Купаж цейлонского и индийского байховых чаёв. Лист брусники и  ягоды красной смородины. С ароматом леденцовой карамели.</t>
  </si>
  <si>
    <t>Черный байховый чай с добавлением листьев брусники, ягоды брусники и слайсов садовой клюквы.. С ароматом брусники.</t>
  </si>
  <si>
    <t>Черный байховый чай с добавлением листьев брусники и слайсов лайма. Аромат кола-лайм.</t>
  </si>
  <si>
    <t>Тай Пин Хоу Куй (Главарь из Хоу Пина)</t>
  </si>
  <si>
    <t>94А</t>
  </si>
  <si>
    <t>97А</t>
  </si>
  <si>
    <t>Имбирный пряник</t>
  </si>
  <si>
    <t>Чай Кола-Вишня</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</si>
</sst>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quot;₽&quot;"/>
    <numFmt numFmtId="165" formatCode="#,##0\ &quot;₽&quot;"/>
    <numFmt numFmtId="166" formatCode="#,##0.00\ _₽"/>
  </numFmts>
  <fonts count="20" x14ac:knownFonts="1">
    <font>
      <sz val="10"/>
      <color theme="1"/>
      <name val="Arial"/>
      <family val="2"/>
      <charset val="204"/>
    </font>
    <font>
      <b/>
      <sz val="10"/>
      <color theme="1"/>
      <name val="Arial"/>
      <family val="2"/>
      <charset val="204"/>
    </font>
    <font>
      <sz val="8"/>
      <name val="Arial"/>
      <family val="2"/>
    </font>
    <font>
      <sz val="8"/>
      <name val="Arial"/>
      <family val="2"/>
      <charset val="204"/>
    </font>
    <font>
      <b/>
      <sz val="9"/>
      <name val="Arial"/>
      <family val="2"/>
      <charset val="204"/>
    </font>
    <font>
      <sz val="9"/>
      <color indexed="8"/>
      <name val="Arial"/>
      <family val="2"/>
      <charset val="204"/>
    </font>
    <font>
      <sz val="9"/>
      <color indexed="8"/>
      <name val="Arial Cyr"/>
      <family val="2"/>
      <charset val="204"/>
    </font>
    <font>
      <b/>
      <sz val="9"/>
      <color indexed="10"/>
      <name val="Arial"/>
      <family val="2"/>
      <charset val="204"/>
    </font>
    <font>
      <sz val="9"/>
      <name val="Arial"/>
      <family val="2"/>
      <charset val="204"/>
    </font>
    <font>
      <sz val="9"/>
      <name val="Arial Cyr"/>
      <family val="2"/>
      <charset val="204"/>
    </font>
    <font>
      <sz val="10"/>
      <name val="Arial Cyr"/>
      <family val="2"/>
      <charset val="204"/>
    </font>
    <font>
      <sz val="9"/>
      <color indexed="10"/>
      <name val="Arial"/>
      <family val="2"/>
      <charset val="204"/>
    </font>
    <font>
      <sz val="10"/>
      <name val="Arial"/>
      <family val="2"/>
      <charset val="204"/>
    </font>
    <font>
      <b/>
      <sz val="10"/>
      <color indexed="10"/>
      <name val="Arial"/>
      <family val="2"/>
      <charset val="204"/>
    </font>
    <font>
      <b/>
      <sz val="10"/>
      <name val="Arial"/>
      <family val="2"/>
      <charset val="204"/>
    </font>
    <font>
      <sz val="8"/>
      <color theme="1"/>
      <name val="Times New Roman"/>
      <family val="1"/>
      <charset val="204"/>
    </font>
    <font>
      <b/>
      <sz val="8"/>
      <color theme="1"/>
      <name val="Times New Roman"/>
      <family val="1"/>
      <charset val="204"/>
    </font>
    <font>
      <sz val="8"/>
      <color rgb="FFFF0000"/>
      <name val="Times New Roman"/>
      <family val="1"/>
      <charset val="204"/>
    </font>
    <font>
      <sz val="9"/>
      <color rgb="FFFF0000"/>
      <name val="Arial"/>
      <family val="2"/>
      <charset val="204"/>
    </font>
    <font>
      <sz val="8"/>
      <name val="Times New Roman"/>
      <family val="1"/>
      <charset val="204"/>
    </font>
  </fonts>
  <fills count="5">
    <fill>
      <patternFill patternType="none"/>
    </fill>
    <fill>
      <patternFill patternType="gray125"/>
    </fill>
    <fill>
      <patternFill patternType="solid">
        <fgColor rgb="FF92D050"/>
        <bgColor indexed="64"/>
      </patternFill>
    </fill>
    <fill>
      <patternFill patternType="solid">
        <fgColor indexed="22"/>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diagonal/>
    </border>
    <border>
      <left style="thin">
        <color auto="1"/>
      </left>
      <right style="thin">
        <color auto="1"/>
      </right>
      <top style="thin">
        <color auto="1"/>
      </top>
      <bottom/>
      <diagonal/>
    </border>
  </borders>
  <cellStyleXfs count="3">
    <xf numFmtId="0" fontId="0" fillId="0" borderId="0"/>
    <xf numFmtId="0" fontId="2" fillId="0" borderId="0"/>
    <xf numFmtId="0" fontId="3" fillId="0" borderId="0">
      <alignment horizontal="left"/>
    </xf>
  </cellStyleXfs>
  <cellXfs count="54">
    <xf numFmtId="0" fontId="0" fillId="0" borderId="0" xfId="0"/>
    <xf numFmtId="0" fontId="0" fillId="0" borderId="1" xfId="0" applyBorder="1"/>
    <xf numFmtId="9" fontId="0" fillId="0" borderId="1" xfId="0" applyNumberFormat="1" applyBorder="1"/>
    <xf numFmtId="165" fontId="1" fillId="0" borderId="1" xfId="0" applyNumberFormat="1" applyFont="1" applyBorder="1"/>
    <xf numFmtId="0" fontId="5" fillId="0" borderId="1" xfId="2" applyFont="1" applyBorder="1" applyAlignment="1">
      <alignment vertical="top" wrapText="1"/>
    </xf>
    <xf numFmtId="0" fontId="6" fillId="0" borderId="1" xfId="0" applyFont="1" applyBorder="1" applyAlignment="1">
      <alignment wrapText="1"/>
    </xf>
    <xf numFmtId="0" fontId="6" fillId="0" borderId="0" xfId="0" applyFont="1"/>
    <xf numFmtId="0" fontId="8" fillId="0" borderId="2" xfId="2" applyFont="1" applyFill="1" applyBorder="1" applyAlignment="1">
      <alignment horizontal="left" vertical="top" wrapText="1"/>
    </xf>
    <xf numFmtId="0" fontId="8" fillId="0" borderId="1" xfId="2" applyFont="1" applyFill="1" applyBorder="1" applyAlignment="1">
      <alignment horizontal="left" vertical="top" wrapText="1"/>
    </xf>
    <xf numFmtId="0" fontId="8" fillId="0" borderId="1" xfId="2" applyFont="1" applyBorder="1" applyAlignment="1">
      <alignment vertical="top" wrapText="1"/>
    </xf>
    <xf numFmtId="0" fontId="9" fillId="0" borderId="1" xfId="0" applyFont="1" applyBorder="1" applyAlignment="1">
      <alignment wrapText="1"/>
    </xf>
    <xf numFmtId="0" fontId="8" fillId="4" borderId="1" xfId="2" applyFont="1" applyFill="1" applyBorder="1" applyAlignment="1">
      <alignment vertical="top" wrapText="1"/>
    </xf>
    <xf numFmtId="0" fontId="9" fillId="4" borderId="1" xfId="0" applyFont="1" applyFill="1" applyBorder="1" applyAlignment="1">
      <alignment wrapText="1"/>
    </xf>
    <xf numFmtId="0" fontId="10" fillId="0" borderId="1" xfId="0" applyFont="1" applyBorder="1" applyAlignment="1">
      <alignment wrapText="1"/>
    </xf>
    <xf numFmtId="0" fontId="5" fillId="0" borderId="1" xfId="2" applyFont="1" applyFill="1" applyBorder="1" applyAlignment="1">
      <alignment vertical="top" wrapText="1"/>
    </xf>
    <xf numFmtId="0" fontId="8" fillId="0" borderId="1" xfId="0" applyFont="1" applyBorder="1" applyAlignment="1">
      <alignment wrapText="1"/>
    </xf>
    <xf numFmtId="0" fontId="12" fillId="0" borderId="1" xfId="0" applyFont="1" applyBorder="1" applyAlignment="1">
      <alignment wrapText="1"/>
    </xf>
    <xf numFmtId="0" fontId="15" fillId="0" borderId="1" xfId="0" applyFont="1" applyBorder="1"/>
    <xf numFmtId="164" fontId="15" fillId="0" borderId="1" xfId="0" applyNumberFormat="1" applyFont="1" applyBorder="1"/>
    <xf numFmtId="0" fontId="15" fillId="2" borderId="1" xfId="0" applyFont="1" applyFill="1" applyBorder="1"/>
    <xf numFmtId="0" fontId="15" fillId="0" borderId="0" xfId="0" applyFont="1"/>
    <xf numFmtId="164" fontId="15" fillId="0" borderId="0" xfId="0" applyNumberFormat="1" applyFont="1"/>
    <xf numFmtId="0" fontId="15" fillId="4" borderId="1" xfId="0" applyFont="1" applyFill="1" applyBorder="1"/>
    <xf numFmtId="166" fontId="15" fillId="4" borderId="1" xfId="0" applyNumberFormat="1" applyFont="1" applyFill="1" applyBorder="1"/>
    <xf numFmtId="164" fontId="15" fillId="4" borderId="1" xfId="0" applyNumberFormat="1" applyFont="1" applyFill="1" applyBorder="1"/>
    <xf numFmtId="9" fontId="0" fillId="0" borderId="4" xfId="0" applyNumberFormat="1" applyBorder="1"/>
    <xf numFmtId="0" fontId="15" fillId="0" borderId="6" xfId="0" applyFont="1" applyBorder="1"/>
    <xf numFmtId="0" fontId="15" fillId="4" borderId="6" xfId="0" applyFont="1" applyFill="1" applyBorder="1"/>
    <xf numFmtId="164" fontId="15" fillId="4" borderId="6" xfId="0" applyNumberFormat="1" applyFont="1" applyFill="1" applyBorder="1"/>
    <xf numFmtId="0" fontId="15" fillId="2" borderId="7" xfId="0" applyFont="1" applyFill="1" applyBorder="1"/>
    <xf numFmtId="0" fontId="17" fillId="0" borderId="1" xfId="0" applyFont="1" applyBorder="1"/>
    <xf numFmtId="0" fontId="17" fillId="4" borderId="1" xfId="0" applyFont="1" applyFill="1" applyBorder="1"/>
    <xf numFmtId="166" fontId="17" fillId="4" borderId="1" xfId="0" applyNumberFormat="1" applyFont="1" applyFill="1" applyBorder="1"/>
    <xf numFmtId="164" fontId="17" fillId="4" borderId="1" xfId="0" applyNumberFormat="1" applyFont="1" applyFill="1" applyBorder="1"/>
    <xf numFmtId="0" fontId="18" fillId="4" borderId="1" xfId="0" applyFont="1" applyFill="1" applyBorder="1"/>
    <xf numFmtId="0" fontId="15" fillId="4" borderId="1" xfId="0" applyFont="1" applyFill="1" applyBorder="1" applyAlignment="1">
      <alignment horizontal="center"/>
    </xf>
    <xf numFmtId="0" fontId="17" fillId="0" borderId="11" xfId="0" applyFont="1" applyBorder="1"/>
    <xf numFmtId="0" fontId="17" fillId="4" borderId="12" xfId="0" applyFont="1" applyFill="1" applyBorder="1"/>
    <xf numFmtId="166" fontId="17" fillId="4" borderId="12" xfId="0" applyNumberFormat="1" applyFont="1" applyFill="1" applyBorder="1"/>
    <xf numFmtId="164" fontId="17" fillId="4" borderId="12" xfId="0" applyNumberFormat="1" applyFont="1" applyFill="1" applyBorder="1"/>
    <xf numFmtId="0" fontId="15" fillId="2" borderId="2" xfId="0" applyFont="1" applyFill="1" applyBorder="1" applyAlignment="1">
      <alignment horizontal="center"/>
    </xf>
    <xf numFmtId="0" fontId="15" fillId="2" borderId="3" xfId="0" applyFont="1" applyFill="1" applyBorder="1" applyAlignment="1">
      <alignment horizontal="center"/>
    </xf>
    <xf numFmtId="164" fontId="16" fillId="0" borderId="2" xfId="0" applyNumberFormat="1" applyFont="1" applyBorder="1" applyAlignment="1">
      <alignment horizontal="center"/>
    </xf>
    <xf numFmtId="164" fontId="16" fillId="0" borderId="4" xfId="0" applyNumberFormat="1" applyFont="1" applyBorder="1" applyAlignment="1">
      <alignment horizontal="center"/>
    </xf>
    <xf numFmtId="0" fontId="15" fillId="2" borderId="8" xfId="0" applyFont="1" applyFill="1" applyBorder="1" applyAlignment="1">
      <alignment horizontal="center"/>
    </xf>
    <xf numFmtId="0" fontId="15" fillId="2" borderId="9" xfId="0" applyFont="1" applyFill="1" applyBorder="1" applyAlignment="1">
      <alignment horizontal="center"/>
    </xf>
    <xf numFmtId="0" fontId="15" fillId="2" borderId="10" xfId="0" applyFont="1" applyFill="1" applyBorder="1" applyAlignment="1">
      <alignment horizontal="center"/>
    </xf>
    <xf numFmtId="0" fontId="14" fillId="3" borderId="2" xfId="2" applyFont="1" applyFill="1" applyBorder="1" applyAlignment="1">
      <alignment horizontal="left" vertical="top" wrapText="1"/>
    </xf>
    <xf numFmtId="0" fontId="14" fillId="3" borderId="3" xfId="2" applyFont="1" applyFill="1" applyBorder="1" applyAlignment="1">
      <alignment horizontal="left" vertical="top" wrapText="1"/>
    </xf>
    <xf numFmtId="0" fontId="4" fillId="3" borderId="2" xfId="2" applyFont="1" applyFill="1" applyBorder="1" applyAlignment="1">
      <alignment horizontal="left" vertical="top" wrapText="1"/>
    </xf>
    <xf numFmtId="0" fontId="4" fillId="3" borderId="3" xfId="2" applyFont="1" applyFill="1" applyBorder="1" applyAlignment="1">
      <alignment horizontal="left" vertical="top" wrapText="1"/>
    </xf>
    <xf numFmtId="0" fontId="4" fillId="3" borderId="5" xfId="2" applyFont="1" applyFill="1" applyBorder="1" applyAlignment="1">
      <alignment horizontal="left" vertical="top" wrapText="1"/>
    </xf>
    <xf numFmtId="164" fontId="19" fillId="4" borderId="1" xfId="0" applyNumberFormat="1" applyFont="1" applyFill="1" applyBorder="1"/>
    <xf numFmtId="164" fontId="17" fillId="0" borderId="1" xfId="0" applyNumberFormat="1" applyFont="1" applyBorder="1"/>
  </cellXfs>
  <cellStyles count="3">
    <cellStyle name="Обычный" xfId="0" builtinId="0"/>
    <cellStyle name="Обычный 3" xfId="1"/>
    <cellStyle name="Обычный_Лист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9"/>
  <sheetViews>
    <sheetView tabSelected="1" topLeftCell="A115" zoomScale="150" workbookViewId="0">
      <selection activeCell="F127" sqref="F127"/>
    </sheetView>
  </sheetViews>
  <sheetFormatPr defaultColWidth="8.77734375" defaultRowHeight="13.2" x14ac:dyDescent="0.25"/>
  <cols>
    <col min="1" max="1" width="4.109375" style="20" customWidth="1"/>
    <col min="2" max="2" width="21.77734375" style="20" customWidth="1"/>
    <col min="3" max="3" width="9.6640625" bestFit="1" customWidth="1"/>
    <col min="4" max="4" width="9.6640625" style="21" bestFit="1" customWidth="1"/>
    <col min="5" max="5" width="0" hidden="1" customWidth="1"/>
  </cols>
  <sheetData>
    <row r="1" spans="1:5" x14ac:dyDescent="0.25">
      <c r="A1" s="17"/>
      <c r="B1" s="17" t="s">
        <v>0</v>
      </c>
      <c r="C1" s="42" t="s">
        <v>505</v>
      </c>
      <c r="D1" s="43"/>
      <c r="E1" s="2" t="s">
        <v>1</v>
      </c>
    </row>
    <row r="2" spans="1:5" x14ac:dyDescent="0.25">
      <c r="A2" s="17"/>
      <c r="B2" s="17"/>
      <c r="C2" s="20" t="s">
        <v>507</v>
      </c>
      <c r="D2" s="18" t="s">
        <v>506</v>
      </c>
      <c r="E2" s="2" t="s">
        <v>2</v>
      </c>
    </row>
    <row r="3" spans="1:5" x14ac:dyDescent="0.25">
      <c r="A3" s="19" t="s">
        <v>3</v>
      </c>
      <c r="B3" s="40" t="s">
        <v>4</v>
      </c>
      <c r="C3" s="41"/>
      <c r="D3" s="41"/>
      <c r="E3" s="3">
        <v>80</v>
      </c>
    </row>
    <row r="4" spans="1:5" x14ac:dyDescent="0.25">
      <c r="A4" s="17" t="s">
        <v>5</v>
      </c>
      <c r="B4" s="22" t="s">
        <v>6</v>
      </c>
      <c r="C4" s="23">
        <v>1398</v>
      </c>
      <c r="D4" s="24">
        <f>ROUNDUP(C4/0.9,0)</f>
        <v>1554</v>
      </c>
      <c r="E4" s="2" t="e">
        <f>(#REF!-#REF!*$E$3)/(#REF!*$E$3)</f>
        <v>#REF!</v>
      </c>
    </row>
    <row r="5" spans="1:5" x14ac:dyDescent="0.25">
      <c r="A5" s="17" t="s">
        <v>7</v>
      </c>
      <c r="B5" s="22" t="s">
        <v>8</v>
      </c>
      <c r="C5" s="23">
        <v>1443</v>
      </c>
      <c r="D5" s="24">
        <f>ROUNDUP(C5/0.9,0)</f>
        <v>1604</v>
      </c>
      <c r="E5" s="2" t="e">
        <f>(#REF!-#REF!*$E$3)/(#REF!*$E$3)</f>
        <v>#REF!</v>
      </c>
    </row>
    <row r="6" spans="1:5" x14ac:dyDescent="0.25">
      <c r="A6" s="17" t="s">
        <v>9</v>
      </c>
      <c r="B6" s="22" t="s">
        <v>10</v>
      </c>
      <c r="C6" s="23">
        <v>1614</v>
      </c>
      <c r="D6" s="24">
        <f t="shared" ref="D6:D67" si="0">ROUNDUP(C6/0.9,0)</f>
        <v>1794</v>
      </c>
      <c r="E6" s="2" t="e">
        <f>(#REF!-#REF!*$E$3)/(#REF!*$E$3)</f>
        <v>#REF!</v>
      </c>
    </row>
    <row r="7" spans="1:5" x14ac:dyDescent="0.25">
      <c r="A7" s="17" t="s">
        <v>11</v>
      </c>
      <c r="B7" s="22" t="s">
        <v>12</v>
      </c>
      <c r="C7" s="23">
        <v>1484</v>
      </c>
      <c r="D7" s="24">
        <f t="shared" si="0"/>
        <v>1649</v>
      </c>
      <c r="E7" s="2" t="e">
        <f>(#REF!-#REF!*$E$3)/(#REF!*$E$3)</f>
        <v>#REF!</v>
      </c>
    </row>
    <row r="8" spans="1:5" x14ac:dyDescent="0.25">
      <c r="A8" s="17" t="s">
        <v>13</v>
      </c>
      <c r="B8" s="22" t="s">
        <v>14</v>
      </c>
      <c r="C8" s="23">
        <v>1441</v>
      </c>
      <c r="D8" s="24">
        <f t="shared" si="0"/>
        <v>1602</v>
      </c>
      <c r="E8" s="2" t="e">
        <f>(#REF!-#REF!*$E$3)/(#REF!*$E$3)</f>
        <v>#REF!</v>
      </c>
    </row>
    <row r="9" spans="1:5" x14ac:dyDescent="0.25">
      <c r="A9" s="17" t="s">
        <v>15</v>
      </c>
      <c r="B9" s="22" t="s">
        <v>16</v>
      </c>
      <c r="C9" s="23">
        <v>1441</v>
      </c>
      <c r="D9" s="24">
        <f t="shared" si="0"/>
        <v>1602</v>
      </c>
      <c r="E9" s="2" t="e">
        <f>(#REF!-#REF!*$E$3)/(#REF!*$E$3)</f>
        <v>#REF!</v>
      </c>
    </row>
    <row r="10" spans="1:5" x14ac:dyDescent="0.25">
      <c r="A10" s="17" t="s">
        <v>17</v>
      </c>
      <c r="B10" s="22" t="s">
        <v>18</v>
      </c>
      <c r="C10" s="23">
        <v>1714</v>
      </c>
      <c r="D10" s="24">
        <f t="shared" si="0"/>
        <v>1905</v>
      </c>
      <c r="E10" s="2" t="e">
        <f>(#REF!-#REF!*$E$3)/(#REF!*$E$3)</f>
        <v>#REF!</v>
      </c>
    </row>
    <row r="11" spans="1:5" x14ac:dyDescent="0.25">
      <c r="A11" s="17" t="s">
        <v>19</v>
      </c>
      <c r="B11" s="22" t="s">
        <v>20</v>
      </c>
      <c r="C11" s="23">
        <v>1513</v>
      </c>
      <c r="D11" s="24">
        <f t="shared" si="0"/>
        <v>1682</v>
      </c>
      <c r="E11" s="2" t="e">
        <f>(#REF!-#REF!*$E$3)/(#REF!*$E$3)</f>
        <v>#REF!</v>
      </c>
    </row>
    <row r="12" spans="1:5" x14ac:dyDescent="0.25">
      <c r="A12" s="17" t="s">
        <v>21</v>
      </c>
      <c r="B12" s="22" t="s">
        <v>22</v>
      </c>
      <c r="C12" s="32">
        <v>1413</v>
      </c>
      <c r="D12" s="24">
        <f t="shared" si="0"/>
        <v>1570</v>
      </c>
      <c r="E12" s="2" t="e">
        <f>(#REF!-#REF!*$E$3)/(#REF!*$E$3)</f>
        <v>#REF!</v>
      </c>
    </row>
    <row r="13" spans="1:5" x14ac:dyDescent="0.25">
      <c r="A13" s="17" t="s">
        <v>23</v>
      </c>
      <c r="B13" s="22" t="s">
        <v>24</v>
      </c>
      <c r="C13" s="23">
        <v>1560</v>
      </c>
      <c r="D13" s="24">
        <f t="shared" si="0"/>
        <v>1734</v>
      </c>
      <c r="E13" s="2" t="e">
        <f>(#REF!-#REF!*$E$3)/(#REF!*$E$3)</f>
        <v>#REF!</v>
      </c>
    </row>
    <row r="14" spans="1:5" x14ac:dyDescent="0.25">
      <c r="A14" s="17" t="s">
        <v>25</v>
      </c>
      <c r="B14" s="22" t="s">
        <v>26</v>
      </c>
      <c r="C14" s="23">
        <v>1620</v>
      </c>
      <c r="D14" s="24">
        <f t="shared" si="0"/>
        <v>1800</v>
      </c>
      <c r="E14" s="2" t="e">
        <f>(#REF!-#REF!*$E$3)/(#REF!*$E$3)</f>
        <v>#REF!</v>
      </c>
    </row>
    <row r="15" spans="1:5" x14ac:dyDescent="0.25">
      <c r="A15" s="17" t="s">
        <v>27</v>
      </c>
      <c r="B15" s="22" t="s">
        <v>28</v>
      </c>
      <c r="C15" s="23">
        <v>1862</v>
      </c>
      <c r="D15" s="24">
        <f t="shared" si="0"/>
        <v>2069</v>
      </c>
      <c r="E15" s="2" t="e">
        <f>(#REF!-#REF!*$E$3)/(#REF!*$E$3)</f>
        <v>#REF!</v>
      </c>
    </row>
    <row r="16" spans="1:5" x14ac:dyDescent="0.25">
      <c r="A16" s="17" t="s">
        <v>29</v>
      </c>
      <c r="B16" s="22" t="s">
        <v>30</v>
      </c>
      <c r="C16" s="23">
        <v>1862</v>
      </c>
      <c r="D16" s="24">
        <f t="shared" si="0"/>
        <v>2069</v>
      </c>
      <c r="E16" s="2" t="e">
        <f>(#REF!-#REF!*$E$3)/(#REF!*$E$3)</f>
        <v>#REF!</v>
      </c>
    </row>
    <row r="17" spans="1:5" x14ac:dyDescent="0.25">
      <c r="A17" s="17" t="s">
        <v>31</v>
      </c>
      <c r="B17" s="22" t="s">
        <v>32</v>
      </c>
      <c r="C17" s="23">
        <v>1862</v>
      </c>
      <c r="D17" s="24">
        <f t="shared" si="0"/>
        <v>2069</v>
      </c>
      <c r="E17" s="2" t="e">
        <f>(#REF!-#REF!*$E$3)/(#REF!*$E$3)</f>
        <v>#REF!</v>
      </c>
    </row>
    <row r="18" spans="1:5" x14ac:dyDescent="0.25">
      <c r="A18" s="17" t="s">
        <v>33</v>
      </c>
      <c r="B18" s="22" t="s">
        <v>34</v>
      </c>
      <c r="C18" s="23">
        <v>1950</v>
      </c>
      <c r="D18" s="24">
        <f t="shared" si="0"/>
        <v>2167</v>
      </c>
      <c r="E18" s="2" t="e">
        <f>(#REF!-#REF!*$E$3)/(#REF!*$E$3)</f>
        <v>#REF!</v>
      </c>
    </row>
    <row r="19" spans="1:5" x14ac:dyDescent="0.25">
      <c r="A19" s="17" t="s">
        <v>35</v>
      </c>
      <c r="B19" s="22" t="s">
        <v>36</v>
      </c>
      <c r="C19" s="23">
        <v>2117</v>
      </c>
      <c r="D19" s="24">
        <f t="shared" si="0"/>
        <v>2353</v>
      </c>
      <c r="E19" s="2" t="e">
        <f>(#REF!-#REF!*$E$3)/(#REF!*$E$3)</f>
        <v>#REF!</v>
      </c>
    </row>
    <row r="20" spans="1:5" x14ac:dyDescent="0.25">
      <c r="A20" s="17" t="s">
        <v>37</v>
      </c>
      <c r="B20" s="22" t="s">
        <v>38</v>
      </c>
      <c r="C20" s="23">
        <v>2163</v>
      </c>
      <c r="D20" s="24">
        <f t="shared" si="0"/>
        <v>2404</v>
      </c>
      <c r="E20" s="2" t="e">
        <f>(#REF!-#REF!*$E$3)/(#REF!*$E$3)</f>
        <v>#REF!</v>
      </c>
    </row>
    <row r="21" spans="1:5" x14ac:dyDescent="0.25">
      <c r="A21" s="17" t="s">
        <v>39</v>
      </c>
      <c r="B21" s="22" t="s">
        <v>40</v>
      </c>
      <c r="C21" s="23">
        <v>1905</v>
      </c>
      <c r="D21" s="24">
        <f t="shared" si="0"/>
        <v>2117</v>
      </c>
      <c r="E21" s="2" t="e">
        <f>(#REF!-#REF!*$E$3)/(#REF!*$E$3)</f>
        <v>#REF!</v>
      </c>
    </row>
    <row r="22" spans="1:5" x14ac:dyDescent="0.25">
      <c r="A22" s="17" t="s">
        <v>41</v>
      </c>
      <c r="B22" s="22" t="s">
        <v>42</v>
      </c>
      <c r="C22" s="23">
        <v>1441</v>
      </c>
      <c r="D22" s="24">
        <f t="shared" si="0"/>
        <v>1602</v>
      </c>
      <c r="E22" s="2" t="e">
        <f>(#REF!-#REF!*$E$3)/(#REF!*$E$3)</f>
        <v>#REF!</v>
      </c>
    </row>
    <row r="23" spans="1:5" x14ac:dyDescent="0.25">
      <c r="A23" s="17" t="s">
        <v>44</v>
      </c>
      <c r="B23" s="22" t="s">
        <v>43</v>
      </c>
      <c r="C23" s="23">
        <v>1756</v>
      </c>
      <c r="D23" s="24">
        <f t="shared" si="0"/>
        <v>1952</v>
      </c>
      <c r="E23" s="2" t="e">
        <f>(#REF!-#REF!*$E$3)/(#REF!*$E$3)</f>
        <v>#REF!</v>
      </c>
    </row>
    <row r="24" spans="1:5" x14ac:dyDescent="0.25">
      <c r="A24" s="17" t="s">
        <v>45</v>
      </c>
      <c r="B24" s="22" t="s">
        <v>46</v>
      </c>
      <c r="C24" s="23">
        <v>1584</v>
      </c>
      <c r="D24" s="24">
        <f t="shared" si="0"/>
        <v>1760</v>
      </c>
      <c r="E24" s="2" t="e">
        <f>(#REF!-#REF!*$E$3)/(#REF!*$E$3)</f>
        <v>#REF!</v>
      </c>
    </row>
    <row r="25" spans="1:5" x14ac:dyDescent="0.25">
      <c r="A25" s="17" t="s">
        <v>47</v>
      </c>
      <c r="B25" s="22" t="s">
        <v>48</v>
      </c>
      <c r="C25" s="23">
        <v>1634</v>
      </c>
      <c r="D25" s="24">
        <f t="shared" si="0"/>
        <v>1816</v>
      </c>
      <c r="E25" s="2" t="e">
        <f>(#REF!-#REF!*$E$3)/(#REF!*$E$3)</f>
        <v>#REF!</v>
      </c>
    </row>
    <row r="26" spans="1:5" x14ac:dyDescent="0.25">
      <c r="A26" s="17" t="s">
        <v>49</v>
      </c>
      <c r="B26" s="22" t="s">
        <v>50</v>
      </c>
      <c r="C26" s="23">
        <v>2047</v>
      </c>
      <c r="D26" s="24">
        <f t="shared" si="0"/>
        <v>2275</v>
      </c>
      <c r="E26" s="2" t="e">
        <f>(#REF!-#REF!*$E$3)/(#REF!*$E$3)</f>
        <v>#REF!</v>
      </c>
    </row>
    <row r="27" spans="1:5" x14ac:dyDescent="0.25">
      <c r="A27" s="17" t="s">
        <v>51</v>
      </c>
      <c r="B27" s="22" t="s">
        <v>52</v>
      </c>
      <c r="C27" s="23">
        <v>1560</v>
      </c>
      <c r="D27" s="24">
        <f t="shared" si="0"/>
        <v>1734</v>
      </c>
      <c r="E27" s="2" t="e">
        <f>(#REF!-#REF!*$E$3)/(#REF!*$E$3)</f>
        <v>#REF!</v>
      </c>
    </row>
    <row r="28" spans="1:5" x14ac:dyDescent="0.25">
      <c r="A28" s="17" t="s">
        <v>53</v>
      </c>
      <c r="B28" s="22" t="s">
        <v>54</v>
      </c>
      <c r="C28" s="23">
        <v>1483</v>
      </c>
      <c r="D28" s="24">
        <f t="shared" si="0"/>
        <v>1648</v>
      </c>
      <c r="E28" s="2" t="e">
        <f>(#REF!-#REF!*$E$3)/(#REF!*$E$3)</f>
        <v>#REF!</v>
      </c>
    </row>
    <row r="29" spans="1:5" x14ac:dyDescent="0.25">
      <c r="A29" s="17" t="s">
        <v>55</v>
      </c>
      <c r="B29" s="22" t="s">
        <v>56</v>
      </c>
      <c r="C29" s="23">
        <v>1593</v>
      </c>
      <c r="D29" s="24">
        <f t="shared" si="0"/>
        <v>1770</v>
      </c>
      <c r="E29" s="2" t="e">
        <f>(#REF!-#REF!*$E$3)/(#REF!*$E$3)</f>
        <v>#REF!</v>
      </c>
    </row>
    <row r="30" spans="1:5" x14ac:dyDescent="0.25">
      <c r="A30" s="17" t="s">
        <v>57</v>
      </c>
      <c r="B30" s="22" t="s">
        <v>58</v>
      </c>
      <c r="C30" s="23">
        <v>1755</v>
      </c>
      <c r="D30" s="24">
        <f t="shared" si="0"/>
        <v>1950</v>
      </c>
      <c r="E30" s="2" t="e">
        <f>(#REF!-#REF!*$E$3)/(#REF!*$E$3)</f>
        <v>#REF!</v>
      </c>
    </row>
    <row r="31" spans="1:5" x14ac:dyDescent="0.25">
      <c r="A31" s="17" t="s">
        <v>59</v>
      </c>
      <c r="B31" s="22" t="s">
        <v>60</v>
      </c>
      <c r="C31" s="23">
        <v>1483</v>
      </c>
      <c r="D31" s="24">
        <f t="shared" si="0"/>
        <v>1648</v>
      </c>
      <c r="E31" s="2" t="e">
        <f>(#REF!-#REF!*$E$3)/(#REF!*$E$3)</f>
        <v>#REF!</v>
      </c>
    </row>
    <row r="32" spans="1:5" x14ac:dyDescent="0.25">
      <c r="A32" s="30" t="s">
        <v>512</v>
      </c>
      <c r="B32" s="31" t="s">
        <v>513</v>
      </c>
      <c r="C32" s="32">
        <v>2180</v>
      </c>
      <c r="D32" s="33">
        <f t="shared" si="0"/>
        <v>2423</v>
      </c>
      <c r="E32" s="2"/>
    </row>
    <row r="33" spans="1:5" x14ac:dyDescent="0.25">
      <c r="A33" s="30" t="s">
        <v>514</v>
      </c>
      <c r="B33" s="31" t="s">
        <v>515</v>
      </c>
      <c r="C33" s="32">
        <v>2180</v>
      </c>
      <c r="D33" s="33">
        <f t="shared" si="0"/>
        <v>2423</v>
      </c>
      <c r="E33" s="2"/>
    </row>
    <row r="34" spans="1:5" x14ac:dyDescent="0.25">
      <c r="A34" s="30" t="s">
        <v>516</v>
      </c>
      <c r="B34" s="31" t="s">
        <v>517</v>
      </c>
      <c r="C34" s="32">
        <v>2180</v>
      </c>
      <c r="D34" s="33">
        <f t="shared" si="0"/>
        <v>2423</v>
      </c>
      <c r="E34" s="2"/>
    </row>
    <row r="35" spans="1:5" x14ac:dyDescent="0.25">
      <c r="A35" s="30" t="s">
        <v>522</v>
      </c>
      <c r="B35" s="31" t="s">
        <v>525</v>
      </c>
      <c r="C35" s="32">
        <v>2180</v>
      </c>
      <c r="D35" s="33">
        <f t="shared" ref="D35" si="1">ROUNDUP(C35/0.9,0)</f>
        <v>2423</v>
      </c>
      <c r="E35" s="25"/>
    </row>
    <row r="36" spans="1:5" ht="13.8" thickBot="1" x14ac:dyDescent="0.3">
      <c r="A36" s="36" t="s">
        <v>523</v>
      </c>
      <c r="B36" s="37" t="s">
        <v>524</v>
      </c>
      <c r="C36" s="38">
        <v>1980</v>
      </c>
      <c r="D36" s="39">
        <f t="shared" ref="D36" si="2">ROUNDUP(C36/0.9,0)</f>
        <v>2200</v>
      </c>
      <c r="E36" s="25"/>
    </row>
    <row r="37" spans="1:5" ht="13.8" thickBot="1" x14ac:dyDescent="0.3">
      <c r="A37" s="29" t="s">
        <v>61</v>
      </c>
      <c r="B37" s="44" t="s">
        <v>62</v>
      </c>
      <c r="C37" s="45"/>
      <c r="D37" s="46"/>
      <c r="E37" s="25"/>
    </row>
    <row r="38" spans="1:5" x14ac:dyDescent="0.25">
      <c r="A38" s="26" t="s">
        <v>63</v>
      </c>
      <c r="B38" s="27" t="s">
        <v>64</v>
      </c>
      <c r="C38" s="28">
        <v>1554</v>
      </c>
      <c r="D38" s="28">
        <f t="shared" si="0"/>
        <v>1727</v>
      </c>
      <c r="E38" s="2" t="e">
        <f>(#REF!-#REF!*$E$3)/(#REF!*$E$3)</f>
        <v>#REF!</v>
      </c>
    </row>
    <row r="39" spans="1:5" x14ac:dyDescent="0.25">
      <c r="A39" s="17" t="s">
        <v>65</v>
      </c>
      <c r="B39" s="22" t="s">
        <v>66</v>
      </c>
      <c r="C39" s="24">
        <v>1775</v>
      </c>
      <c r="D39" s="24">
        <f t="shared" si="0"/>
        <v>1973</v>
      </c>
      <c r="E39" s="2" t="e">
        <f>(#REF!-#REF!*$E$3)/(#REF!*$E$3)</f>
        <v>#REF!</v>
      </c>
    </row>
    <row r="40" spans="1:5" x14ac:dyDescent="0.25">
      <c r="A40" s="17" t="s">
        <v>67</v>
      </c>
      <c r="B40" s="22" t="s">
        <v>68</v>
      </c>
      <c r="C40" s="24">
        <v>1775</v>
      </c>
      <c r="D40" s="24">
        <f t="shared" si="0"/>
        <v>1973</v>
      </c>
      <c r="E40" s="2" t="e">
        <f>(#REF!-#REF!*$E$3)/(#REF!*$E$3)</f>
        <v>#REF!</v>
      </c>
    </row>
    <row r="41" spans="1:5" x14ac:dyDescent="0.25">
      <c r="A41" s="17" t="s">
        <v>69</v>
      </c>
      <c r="B41" s="22" t="s">
        <v>70</v>
      </c>
      <c r="C41" s="24">
        <v>1775</v>
      </c>
      <c r="D41" s="24">
        <f t="shared" si="0"/>
        <v>1973</v>
      </c>
      <c r="E41" s="2" t="e">
        <f>(#REF!-#REF!*$E$3)/(#REF!*$E$3)</f>
        <v>#REF!</v>
      </c>
    </row>
    <row r="42" spans="1:5" x14ac:dyDescent="0.25">
      <c r="A42" s="17" t="s">
        <v>71</v>
      </c>
      <c r="B42" s="22" t="s">
        <v>72</v>
      </c>
      <c r="C42" s="24">
        <v>1554</v>
      </c>
      <c r="D42" s="24">
        <f t="shared" si="0"/>
        <v>1727</v>
      </c>
      <c r="E42" s="2" t="e">
        <f>(#REF!-#REF!*$E$3)/(#REF!*$E$3)</f>
        <v>#REF!</v>
      </c>
    </row>
    <row r="43" spans="1:5" x14ac:dyDescent="0.25">
      <c r="A43" s="17" t="s">
        <v>73</v>
      </c>
      <c r="B43" s="22" t="s">
        <v>74</v>
      </c>
      <c r="C43" s="24">
        <v>1109</v>
      </c>
      <c r="D43" s="24">
        <f t="shared" si="0"/>
        <v>1233</v>
      </c>
      <c r="E43" s="2" t="e">
        <f>(#REF!-#REF!*$E$3)/(#REF!*$E$3)</f>
        <v>#REF!</v>
      </c>
    </row>
    <row r="44" spans="1:5" x14ac:dyDescent="0.25">
      <c r="A44" s="19" t="s">
        <v>75</v>
      </c>
      <c r="B44" s="40" t="s">
        <v>76</v>
      </c>
      <c r="C44" s="41"/>
      <c r="D44" s="41"/>
      <c r="E44" s="2"/>
    </row>
    <row r="45" spans="1:5" x14ac:dyDescent="0.25">
      <c r="A45" s="17" t="s">
        <v>77</v>
      </c>
      <c r="B45" s="22" t="s">
        <v>78</v>
      </c>
      <c r="C45" s="24">
        <v>1476</v>
      </c>
      <c r="D45" s="24">
        <f t="shared" si="0"/>
        <v>1640</v>
      </c>
      <c r="E45" s="2" t="e">
        <f>(#REF!-#REF!*$E$3)/(#REF!*$E$3)</f>
        <v>#REF!</v>
      </c>
    </row>
    <row r="46" spans="1:5" x14ac:dyDescent="0.25">
      <c r="A46" s="17" t="s">
        <v>79</v>
      </c>
      <c r="B46" s="22" t="s">
        <v>80</v>
      </c>
      <c r="C46" s="24">
        <v>1815</v>
      </c>
      <c r="D46" s="24">
        <f t="shared" si="0"/>
        <v>2017</v>
      </c>
      <c r="E46" s="2" t="e">
        <f>(#REF!-#REF!*$E$3)/(#REF!*$E$3)</f>
        <v>#REF!</v>
      </c>
    </row>
    <row r="47" spans="1:5" x14ac:dyDescent="0.25">
      <c r="A47" s="17" t="s">
        <v>81</v>
      </c>
      <c r="B47" s="22" t="s">
        <v>82</v>
      </c>
      <c r="C47" s="52">
        <v>1484</v>
      </c>
      <c r="D47" s="24">
        <f t="shared" si="0"/>
        <v>1649</v>
      </c>
      <c r="E47" s="2" t="e">
        <f>(#REF!-#REF!*$E$3)/(#REF!*$E$3)</f>
        <v>#REF!</v>
      </c>
    </row>
    <row r="48" spans="1:5" x14ac:dyDescent="0.25">
      <c r="A48" s="17" t="s">
        <v>83</v>
      </c>
      <c r="B48" s="22" t="s">
        <v>84</v>
      </c>
      <c r="C48" s="52">
        <v>1484</v>
      </c>
      <c r="D48" s="24">
        <f t="shared" si="0"/>
        <v>1649</v>
      </c>
      <c r="E48" s="2" t="e">
        <f>(#REF!-#REF!*$E$3)/(#REF!*$E$3)</f>
        <v>#REF!</v>
      </c>
    </row>
    <row r="49" spans="1:5" x14ac:dyDescent="0.25">
      <c r="A49" s="17" t="s">
        <v>85</v>
      </c>
      <c r="B49" s="22" t="s">
        <v>86</v>
      </c>
      <c r="C49" s="24">
        <v>1386</v>
      </c>
      <c r="D49" s="24">
        <f t="shared" si="0"/>
        <v>1540</v>
      </c>
      <c r="E49" s="2" t="e">
        <f>(#REF!-#REF!*$E$3)/(#REF!*$E$3)</f>
        <v>#REF!</v>
      </c>
    </row>
    <row r="50" spans="1:5" x14ac:dyDescent="0.25">
      <c r="A50" s="17" t="s">
        <v>87</v>
      </c>
      <c r="B50" s="22" t="s">
        <v>88</v>
      </c>
      <c r="C50" s="24">
        <v>1589</v>
      </c>
      <c r="D50" s="24">
        <f t="shared" si="0"/>
        <v>1766</v>
      </c>
      <c r="E50" s="2" t="e">
        <f>(#REF!-#REF!*$E$3)/(#REF!*$E$3)</f>
        <v>#REF!</v>
      </c>
    </row>
    <row r="51" spans="1:5" x14ac:dyDescent="0.25">
      <c r="A51" s="17" t="s">
        <v>89</v>
      </c>
      <c r="B51" s="22" t="s">
        <v>90</v>
      </c>
      <c r="C51" s="24">
        <v>1348</v>
      </c>
      <c r="D51" s="24">
        <f t="shared" si="0"/>
        <v>1498</v>
      </c>
      <c r="E51" s="2" t="e">
        <f>(#REF!-#REF!*$E$3)/(#REF!*$E$3)</f>
        <v>#REF!</v>
      </c>
    </row>
    <row r="52" spans="1:5" x14ac:dyDescent="0.25">
      <c r="A52" s="17" t="s">
        <v>91</v>
      </c>
      <c r="B52" s="22" t="s">
        <v>92</v>
      </c>
      <c r="C52" s="24">
        <v>1560</v>
      </c>
      <c r="D52" s="24">
        <f t="shared" si="0"/>
        <v>1734</v>
      </c>
      <c r="E52" s="2" t="e">
        <f>(#REF!-#REF!*$E$3)/(#REF!*$E$3)</f>
        <v>#REF!</v>
      </c>
    </row>
    <row r="53" spans="1:5" x14ac:dyDescent="0.25">
      <c r="A53" s="17" t="s">
        <v>93</v>
      </c>
      <c r="B53" s="22" t="s">
        <v>94</v>
      </c>
      <c r="C53" s="52">
        <v>1484</v>
      </c>
      <c r="D53" s="24">
        <f t="shared" si="0"/>
        <v>1649</v>
      </c>
      <c r="E53" s="2" t="e">
        <f>(#REF!-#REF!*$E$3)/(#REF!*$E$3)</f>
        <v>#REF!</v>
      </c>
    </row>
    <row r="54" spans="1:5" x14ac:dyDescent="0.25">
      <c r="A54" s="17" t="s">
        <v>95</v>
      </c>
      <c r="B54" s="22" t="s">
        <v>96</v>
      </c>
      <c r="C54" s="24">
        <v>1560</v>
      </c>
      <c r="D54" s="24">
        <f t="shared" si="0"/>
        <v>1734</v>
      </c>
      <c r="E54" s="2" t="e">
        <f>(#REF!-#REF!*$E$3)/(#REF!*$E$3)</f>
        <v>#REF!</v>
      </c>
    </row>
    <row r="55" spans="1:5" x14ac:dyDescent="0.25">
      <c r="A55" s="17" t="s">
        <v>97</v>
      </c>
      <c r="B55" s="22" t="s">
        <v>98</v>
      </c>
      <c r="C55" s="24">
        <v>1547</v>
      </c>
      <c r="D55" s="24">
        <f t="shared" si="0"/>
        <v>1719</v>
      </c>
      <c r="E55" s="2" t="e">
        <f>(#REF!-#REF!*$E$3)/(#REF!*$E$3)</f>
        <v>#REF!</v>
      </c>
    </row>
    <row r="56" spans="1:5" x14ac:dyDescent="0.25">
      <c r="A56" s="17" t="s">
        <v>99</v>
      </c>
      <c r="B56" s="22" t="s">
        <v>100</v>
      </c>
      <c r="C56" s="24">
        <v>1715</v>
      </c>
      <c r="D56" s="24">
        <f t="shared" si="0"/>
        <v>1906</v>
      </c>
      <c r="E56" s="2" t="e">
        <f>(#REF!-#REF!*$E$3)/(#REF!*$E$3)</f>
        <v>#REF!</v>
      </c>
    </row>
    <row r="57" spans="1:5" x14ac:dyDescent="0.25">
      <c r="A57" s="17" t="s">
        <v>101</v>
      </c>
      <c r="B57" s="22" t="s">
        <v>102</v>
      </c>
      <c r="C57" s="24">
        <v>1515</v>
      </c>
      <c r="D57" s="24">
        <f t="shared" si="0"/>
        <v>1684</v>
      </c>
      <c r="E57" s="2" t="e">
        <f>(#REF!-#REF!*$E$3)/(#REF!*$E$3)</f>
        <v>#REF!</v>
      </c>
    </row>
    <row r="58" spans="1:5" x14ac:dyDescent="0.25">
      <c r="A58" s="17" t="s">
        <v>103</v>
      </c>
      <c r="B58" s="22" t="s">
        <v>104</v>
      </c>
      <c r="C58" s="24">
        <v>1559</v>
      </c>
      <c r="D58" s="24">
        <f t="shared" si="0"/>
        <v>1733</v>
      </c>
      <c r="E58" s="2" t="e">
        <f>(#REF!-#REF!*$E$3)/(#REF!*$E$3)</f>
        <v>#REF!</v>
      </c>
    </row>
    <row r="59" spans="1:5" x14ac:dyDescent="0.25">
      <c r="A59" s="17" t="s">
        <v>105</v>
      </c>
      <c r="B59" s="22" t="s">
        <v>106</v>
      </c>
      <c r="C59" s="24">
        <v>1483</v>
      </c>
      <c r="D59" s="24">
        <f t="shared" si="0"/>
        <v>1648</v>
      </c>
      <c r="E59" s="2" t="e">
        <f>(#REF!-#REF!*$E$3)/(#REF!*$E$3)</f>
        <v>#REF!</v>
      </c>
    </row>
    <row r="60" spans="1:5" x14ac:dyDescent="0.25">
      <c r="A60" s="17" t="s">
        <v>107</v>
      </c>
      <c r="B60" s="22" t="s">
        <v>108</v>
      </c>
      <c r="C60" s="24">
        <v>1593</v>
      </c>
      <c r="D60" s="24">
        <f t="shared" si="0"/>
        <v>1770</v>
      </c>
      <c r="E60" s="2" t="e">
        <f>(#REF!-#REF!*$E$3)/(#REF!*$E$3)</f>
        <v>#REF!</v>
      </c>
    </row>
    <row r="61" spans="1:5" x14ac:dyDescent="0.25">
      <c r="A61" s="17" t="s">
        <v>109</v>
      </c>
      <c r="B61" s="22" t="s">
        <v>110</v>
      </c>
      <c r="C61" s="24">
        <v>1715</v>
      </c>
      <c r="D61" s="24">
        <f t="shared" si="0"/>
        <v>1906</v>
      </c>
      <c r="E61" s="2" t="e">
        <f>(#REF!-#REF!*$E$3)/(#REF!*$E$3)</f>
        <v>#REF!</v>
      </c>
    </row>
    <row r="62" spans="1:5" x14ac:dyDescent="0.25">
      <c r="A62" s="17" t="s">
        <v>111</v>
      </c>
      <c r="B62" s="22" t="s">
        <v>112</v>
      </c>
      <c r="C62" s="24">
        <v>1715</v>
      </c>
      <c r="D62" s="24">
        <f t="shared" si="0"/>
        <v>1906</v>
      </c>
      <c r="E62" s="2" t="e">
        <f>(#REF!-#REF!*$E$3)/(#REF!*$E$3)</f>
        <v>#REF!</v>
      </c>
    </row>
    <row r="63" spans="1:5" x14ac:dyDescent="0.25">
      <c r="A63" s="17" t="s">
        <v>113</v>
      </c>
      <c r="B63" s="22" t="s">
        <v>114</v>
      </c>
      <c r="C63" s="24">
        <v>1400</v>
      </c>
      <c r="D63" s="24">
        <f t="shared" si="0"/>
        <v>1556</v>
      </c>
      <c r="E63" s="2" t="e">
        <f>(#REF!-#REF!*$E$3)/(#REF!*$E$3)</f>
        <v>#REF!</v>
      </c>
    </row>
    <row r="64" spans="1:5" x14ac:dyDescent="0.25">
      <c r="A64" s="17" t="s">
        <v>115</v>
      </c>
      <c r="B64" s="22" t="s">
        <v>116</v>
      </c>
      <c r="C64" s="24">
        <v>1715</v>
      </c>
      <c r="D64" s="24">
        <f t="shared" si="0"/>
        <v>1906</v>
      </c>
      <c r="E64" s="2" t="e">
        <f>(#REF!-#REF!*$E$3)/(#REF!*$E$3)</f>
        <v>#REF!</v>
      </c>
    </row>
    <row r="65" spans="1:5" x14ac:dyDescent="0.25">
      <c r="A65" s="17" t="s">
        <v>117</v>
      </c>
      <c r="B65" s="22" t="s">
        <v>118</v>
      </c>
      <c r="C65" s="24">
        <v>1328</v>
      </c>
      <c r="D65" s="24">
        <f t="shared" si="0"/>
        <v>1476</v>
      </c>
      <c r="E65" s="2" t="e">
        <f>(#REF!-#REF!*$E$3)/(#REF!*$E$3)</f>
        <v>#REF!</v>
      </c>
    </row>
    <row r="66" spans="1:5" x14ac:dyDescent="0.25">
      <c r="A66" s="17" t="s">
        <v>119</v>
      </c>
      <c r="B66" s="22" t="s">
        <v>120</v>
      </c>
      <c r="C66" s="52">
        <v>1484</v>
      </c>
      <c r="D66" s="24">
        <f t="shared" si="0"/>
        <v>1649</v>
      </c>
      <c r="E66" s="2" t="e">
        <f>(#REF!-#REF!*$E$3)/(#REF!*$E$3)</f>
        <v>#REF!</v>
      </c>
    </row>
    <row r="67" spans="1:5" x14ac:dyDescent="0.25">
      <c r="A67" s="17" t="s">
        <v>121</v>
      </c>
      <c r="B67" s="22" t="s">
        <v>122</v>
      </c>
      <c r="C67" s="24">
        <v>1328</v>
      </c>
      <c r="D67" s="24">
        <f t="shared" si="0"/>
        <v>1476</v>
      </c>
      <c r="E67" s="2" t="e">
        <f>(#REF!-#REF!*$E$3)/(#REF!*$E$3)</f>
        <v>#REF!</v>
      </c>
    </row>
    <row r="68" spans="1:5" x14ac:dyDescent="0.25">
      <c r="A68" s="19" t="s">
        <v>123</v>
      </c>
      <c r="B68" s="40" t="s">
        <v>124</v>
      </c>
      <c r="C68" s="41"/>
      <c r="D68" s="41"/>
      <c r="E68" s="2"/>
    </row>
    <row r="69" spans="1:5" x14ac:dyDescent="0.25">
      <c r="A69" s="17" t="s">
        <v>125</v>
      </c>
      <c r="B69" s="22" t="s">
        <v>126</v>
      </c>
      <c r="C69" s="24">
        <v>1258</v>
      </c>
      <c r="D69" s="24">
        <f t="shared" ref="D69:D122" si="3">ROUNDUP(C69/0.9,0)</f>
        <v>1398</v>
      </c>
      <c r="E69" s="2" t="e">
        <f>(#REF!-#REF!*$E$3)/(#REF!*$E$3)</f>
        <v>#REF!</v>
      </c>
    </row>
    <row r="70" spans="1:5" x14ac:dyDescent="0.25">
      <c r="A70" s="17" t="s">
        <v>127</v>
      </c>
      <c r="B70" s="22" t="s">
        <v>128</v>
      </c>
      <c r="C70" s="24">
        <v>4890</v>
      </c>
      <c r="D70" s="24">
        <f t="shared" si="3"/>
        <v>5434</v>
      </c>
      <c r="E70" s="2" t="e">
        <f>(#REF!-#REF!*$E$3)/(#REF!*$E$3)</f>
        <v>#REF!</v>
      </c>
    </row>
    <row r="71" spans="1:5" x14ac:dyDescent="0.25">
      <c r="A71" s="17" t="s">
        <v>129</v>
      </c>
      <c r="B71" s="22" t="s">
        <v>130</v>
      </c>
      <c r="C71" s="24">
        <v>1333</v>
      </c>
      <c r="D71" s="24">
        <f t="shared" si="3"/>
        <v>1482</v>
      </c>
      <c r="E71" s="2" t="e">
        <f>(#REF!-#REF!*$E$3)/(#REF!*$E$3)</f>
        <v>#REF!</v>
      </c>
    </row>
    <row r="72" spans="1:5" x14ac:dyDescent="0.25">
      <c r="A72" s="17" t="s">
        <v>131</v>
      </c>
      <c r="B72" s="22" t="s">
        <v>132</v>
      </c>
      <c r="C72" s="24">
        <v>3751</v>
      </c>
      <c r="D72" s="24">
        <f t="shared" si="3"/>
        <v>4168</v>
      </c>
      <c r="E72" s="2" t="e">
        <f>(#REF!-#REF!*$E$3)/(#REF!*$E$3)</f>
        <v>#REF!</v>
      </c>
    </row>
    <row r="73" spans="1:5" x14ac:dyDescent="0.25">
      <c r="A73" s="17" t="s">
        <v>133</v>
      </c>
      <c r="B73" s="22" t="s">
        <v>134</v>
      </c>
      <c r="C73" s="24">
        <v>8026</v>
      </c>
      <c r="D73" s="24">
        <f t="shared" si="3"/>
        <v>8918</v>
      </c>
      <c r="E73" s="2" t="e">
        <f>(#REF!-#REF!*$E$3)/(#REF!*$E$3)</f>
        <v>#REF!</v>
      </c>
    </row>
    <row r="74" spans="1:5" x14ac:dyDescent="0.25">
      <c r="A74" s="17" t="s">
        <v>135</v>
      </c>
      <c r="B74" s="22" t="s">
        <v>136</v>
      </c>
      <c r="C74" s="24">
        <v>3872</v>
      </c>
      <c r="D74" s="24">
        <f t="shared" si="3"/>
        <v>4303</v>
      </c>
      <c r="E74" s="2" t="e">
        <f>(#REF!-#REF!*$E$3)/(#REF!*$E$3)</f>
        <v>#REF!</v>
      </c>
    </row>
    <row r="75" spans="1:5" x14ac:dyDescent="0.25">
      <c r="A75" s="17" t="s">
        <v>137</v>
      </c>
      <c r="B75" s="22" t="s">
        <v>138</v>
      </c>
      <c r="C75" s="24">
        <v>1925</v>
      </c>
      <c r="D75" s="24">
        <f t="shared" si="3"/>
        <v>2139</v>
      </c>
      <c r="E75" s="2" t="e">
        <f>(#REF!-#REF!*$E$3)/(#REF!*$E$3)</f>
        <v>#REF!</v>
      </c>
    </row>
    <row r="76" spans="1:5" x14ac:dyDescent="0.25">
      <c r="A76" s="17" t="s">
        <v>139</v>
      </c>
      <c r="B76" s="22" t="s">
        <v>140</v>
      </c>
      <c r="C76" s="24">
        <v>2480</v>
      </c>
      <c r="D76" s="24">
        <f t="shared" si="3"/>
        <v>2756</v>
      </c>
      <c r="E76" s="2" t="e">
        <f>(#REF!-#REF!*$E$3)/(#REF!*$E$3)</f>
        <v>#REF!</v>
      </c>
    </row>
    <row r="77" spans="1:5" x14ac:dyDescent="0.25">
      <c r="A77" s="17" t="s">
        <v>141</v>
      </c>
      <c r="B77" s="22" t="s">
        <v>142</v>
      </c>
      <c r="C77" s="24"/>
      <c r="D77" s="24">
        <f t="shared" si="3"/>
        <v>0</v>
      </c>
      <c r="E77" s="2" t="e">
        <f>(#REF!-#REF!*$E$3)/(#REF!*$E$3)</f>
        <v>#REF!</v>
      </c>
    </row>
    <row r="78" spans="1:5" x14ac:dyDescent="0.25">
      <c r="A78" s="17" t="s">
        <v>143</v>
      </c>
      <c r="B78" s="22" t="s">
        <v>144</v>
      </c>
      <c r="C78" s="24"/>
      <c r="D78" s="24">
        <f t="shared" si="3"/>
        <v>0</v>
      </c>
      <c r="E78" s="2" t="e">
        <f>(#REF!-#REF!*$E$3)/(#REF!*$E$3)</f>
        <v>#REF!</v>
      </c>
    </row>
    <row r="79" spans="1:5" x14ac:dyDescent="0.25">
      <c r="A79" s="17" t="s">
        <v>145</v>
      </c>
      <c r="B79" s="22" t="s">
        <v>146</v>
      </c>
      <c r="C79" s="24">
        <v>3872</v>
      </c>
      <c r="D79" s="24">
        <f t="shared" si="3"/>
        <v>4303</v>
      </c>
      <c r="E79" s="2" t="e">
        <f>(#REF!-#REF!*$E$3)/(#REF!*$E$3)</f>
        <v>#REF!</v>
      </c>
    </row>
    <row r="80" spans="1:5" x14ac:dyDescent="0.25">
      <c r="A80" s="17" t="s">
        <v>147</v>
      </c>
      <c r="B80" s="22" t="s">
        <v>148</v>
      </c>
      <c r="C80" s="24"/>
      <c r="D80" s="24">
        <f t="shared" si="3"/>
        <v>0</v>
      </c>
      <c r="E80" s="2" t="e">
        <f>(#REF!-#REF!*$E$3)/(#REF!*$E$3)</f>
        <v>#REF!</v>
      </c>
    </row>
    <row r="81" spans="1:5" x14ac:dyDescent="0.25">
      <c r="A81" s="17" t="s">
        <v>149</v>
      </c>
      <c r="B81" s="22" t="s">
        <v>150</v>
      </c>
      <c r="C81" s="24"/>
      <c r="D81" s="24">
        <f t="shared" si="3"/>
        <v>0</v>
      </c>
      <c r="E81" s="2" t="e">
        <f>(#REF!-#REF!*$E$3)/(#REF!*$E$3)</f>
        <v>#REF!</v>
      </c>
    </row>
    <row r="82" spans="1:5" x14ac:dyDescent="0.25">
      <c r="A82" s="17" t="s">
        <v>151</v>
      </c>
      <c r="B82" s="22" t="s">
        <v>152</v>
      </c>
      <c r="C82" s="24"/>
      <c r="D82" s="24">
        <f t="shared" si="3"/>
        <v>0</v>
      </c>
      <c r="E82" s="2" t="e">
        <f>(#REF!-#REF!*$E$3)/(#REF!*$E$3)</f>
        <v>#REF!</v>
      </c>
    </row>
    <row r="83" spans="1:5" x14ac:dyDescent="0.25">
      <c r="A83" s="17" t="s">
        <v>153</v>
      </c>
      <c r="B83" s="22" t="s">
        <v>154</v>
      </c>
      <c r="C83" s="24"/>
      <c r="D83" s="24">
        <f t="shared" si="3"/>
        <v>0</v>
      </c>
      <c r="E83" s="2" t="e">
        <f>(#REF!-#REF!*$E$3)/(#REF!*$E$3)</f>
        <v>#REF!</v>
      </c>
    </row>
    <row r="84" spans="1:5" x14ac:dyDescent="0.25">
      <c r="A84" s="17" t="s">
        <v>155</v>
      </c>
      <c r="B84" s="22" t="s">
        <v>156</v>
      </c>
      <c r="C84" s="24">
        <v>3362</v>
      </c>
      <c r="D84" s="24">
        <f t="shared" si="3"/>
        <v>3736</v>
      </c>
      <c r="E84" s="2" t="e">
        <f>(#REF!-#REF!*$E$3)/(#REF!*$E$3)</f>
        <v>#REF!</v>
      </c>
    </row>
    <row r="85" spans="1:5" x14ac:dyDescent="0.25">
      <c r="A85" s="17" t="s">
        <v>157</v>
      </c>
      <c r="B85" s="35" t="s">
        <v>521</v>
      </c>
      <c r="C85" s="24"/>
      <c r="D85" s="24">
        <f t="shared" si="3"/>
        <v>0</v>
      </c>
      <c r="E85" s="2" t="e">
        <f>(#REF!-#REF!*$E$3)/(#REF!*$E$3)</f>
        <v>#REF!</v>
      </c>
    </row>
    <row r="86" spans="1:5" x14ac:dyDescent="0.25">
      <c r="A86" s="17" t="s">
        <v>158</v>
      </c>
      <c r="B86" s="22" t="s">
        <v>159</v>
      </c>
      <c r="C86" s="24"/>
      <c r="D86" s="24">
        <f t="shared" si="3"/>
        <v>0</v>
      </c>
      <c r="E86" s="2" t="e">
        <f>(#REF!-#REF!*$E$3)/(#REF!*$E$3)</f>
        <v>#REF!</v>
      </c>
    </row>
    <row r="87" spans="1:5" x14ac:dyDescent="0.25">
      <c r="A87" s="17" t="s">
        <v>160</v>
      </c>
      <c r="B87" s="22" t="s">
        <v>161</v>
      </c>
      <c r="C87" s="24"/>
      <c r="D87" s="24">
        <f t="shared" si="3"/>
        <v>0</v>
      </c>
      <c r="E87" s="2" t="e">
        <f>(#REF!-#REF!*$E$3)/(#REF!*$E$3)</f>
        <v>#REF!</v>
      </c>
    </row>
    <row r="88" spans="1:5" x14ac:dyDescent="0.25">
      <c r="A88" s="17" t="s">
        <v>162</v>
      </c>
      <c r="B88" s="22" t="s">
        <v>163</v>
      </c>
      <c r="C88" s="24"/>
      <c r="D88" s="24">
        <f t="shared" si="3"/>
        <v>0</v>
      </c>
      <c r="E88" s="2" t="e">
        <f>(#REF!-#REF!*$E$3)/(#REF!*$E$3)</f>
        <v>#REF!</v>
      </c>
    </row>
    <row r="89" spans="1:5" x14ac:dyDescent="0.25">
      <c r="A89" s="19" t="s">
        <v>164</v>
      </c>
      <c r="B89" s="40" t="s">
        <v>165</v>
      </c>
      <c r="C89" s="41"/>
      <c r="D89" s="41"/>
      <c r="E89" s="2"/>
    </row>
    <row r="90" spans="1:5" x14ac:dyDescent="0.25">
      <c r="A90" s="17" t="s">
        <v>166</v>
      </c>
      <c r="B90" s="17" t="s">
        <v>167</v>
      </c>
      <c r="C90" s="53">
        <v>1835</v>
      </c>
      <c r="D90" s="18">
        <f t="shared" si="3"/>
        <v>2039</v>
      </c>
      <c r="E90" s="2" t="e">
        <f>(#REF!-#REF!*$E$3)/(#REF!*$E$3)</f>
        <v>#REF!</v>
      </c>
    </row>
    <row r="91" spans="1:5" x14ac:dyDescent="0.25">
      <c r="A91" s="17" t="s">
        <v>168</v>
      </c>
      <c r="B91" s="17" t="s">
        <v>169</v>
      </c>
      <c r="C91" s="18">
        <v>1989</v>
      </c>
      <c r="D91" s="18">
        <f t="shared" si="3"/>
        <v>2210</v>
      </c>
      <c r="E91" s="2" t="e">
        <f>(#REF!-#REF!*$E$3)/(#REF!*$E$3)</f>
        <v>#REF!</v>
      </c>
    </row>
    <row r="92" spans="1:5" x14ac:dyDescent="0.25">
      <c r="A92" s="17" t="s">
        <v>170</v>
      </c>
      <c r="B92" s="17" t="s">
        <v>171</v>
      </c>
      <c r="C92" s="18">
        <v>1428</v>
      </c>
      <c r="D92" s="18">
        <f t="shared" si="3"/>
        <v>1587</v>
      </c>
      <c r="E92" s="2" t="e">
        <f>(#REF!-#REF!*$E$3)/(#REF!*$E$3)</f>
        <v>#REF!</v>
      </c>
    </row>
    <row r="93" spans="1:5" x14ac:dyDescent="0.25">
      <c r="A93" s="17" t="s">
        <v>172</v>
      </c>
      <c r="B93" s="17" t="s">
        <v>173</v>
      </c>
      <c r="C93" s="18">
        <v>1989</v>
      </c>
      <c r="D93" s="18">
        <f t="shared" ref="D93" si="4">ROUNDUP(C93/0.9,0)</f>
        <v>2210</v>
      </c>
      <c r="E93" s="2"/>
    </row>
    <row r="94" spans="1:5" x14ac:dyDescent="0.25">
      <c r="A94" s="17" t="s">
        <v>503</v>
      </c>
      <c r="B94" s="17" t="s">
        <v>504</v>
      </c>
      <c r="C94" s="53">
        <v>1835</v>
      </c>
      <c r="D94" s="18">
        <f t="shared" si="3"/>
        <v>2039</v>
      </c>
      <c r="E94" s="2" t="e">
        <f>(#REF!-#REF!*$E$3)/(#REF!*$E$3)</f>
        <v>#REF!</v>
      </c>
    </row>
    <row r="95" spans="1:5" x14ac:dyDescent="0.25">
      <c r="A95" s="17" t="s">
        <v>174</v>
      </c>
      <c r="B95" s="17" t="s">
        <v>175</v>
      </c>
      <c r="C95" s="53">
        <v>1835</v>
      </c>
      <c r="D95" s="18">
        <f t="shared" si="3"/>
        <v>2039</v>
      </c>
      <c r="E95" s="2" t="e">
        <f>(#REF!-#REF!*$E$3)/(#REF!*$E$3)</f>
        <v>#REF!</v>
      </c>
    </row>
    <row r="96" spans="1:5" x14ac:dyDescent="0.25">
      <c r="A96" s="17" t="s">
        <v>176</v>
      </c>
      <c r="B96" s="17" t="s">
        <v>177</v>
      </c>
      <c r="C96" s="53">
        <v>1835</v>
      </c>
      <c r="D96" s="18">
        <f t="shared" si="3"/>
        <v>2039</v>
      </c>
      <c r="E96" s="2" t="e">
        <f>(#REF!-#REF!*$E$3)/(#REF!*$E$3)</f>
        <v>#REF!</v>
      </c>
    </row>
    <row r="97" spans="1:5" x14ac:dyDescent="0.25">
      <c r="A97" s="19" t="s">
        <v>178</v>
      </c>
      <c r="B97" s="40" t="s">
        <v>179</v>
      </c>
      <c r="C97" s="41"/>
      <c r="D97" s="41"/>
      <c r="E97" s="2"/>
    </row>
    <row r="98" spans="1:5" x14ac:dyDescent="0.25">
      <c r="A98" s="17" t="s">
        <v>180</v>
      </c>
      <c r="B98" s="22" t="s">
        <v>181</v>
      </c>
      <c r="C98" s="24">
        <v>1701</v>
      </c>
      <c r="D98" s="24">
        <f t="shared" si="3"/>
        <v>1890</v>
      </c>
      <c r="E98" s="2" t="e">
        <f>(#REF!-#REF!*$E$3)/(#REF!*$E$3)</f>
        <v>#REF!</v>
      </c>
    </row>
    <row r="99" spans="1:5" x14ac:dyDescent="0.25">
      <c r="A99" s="17" t="s">
        <v>182</v>
      </c>
      <c r="B99" s="22" t="s">
        <v>183</v>
      </c>
      <c r="C99" s="24">
        <v>1819</v>
      </c>
      <c r="D99" s="24">
        <f t="shared" si="3"/>
        <v>2022</v>
      </c>
      <c r="E99" s="2" t="e">
        <f>(#REF!-#REF!*$E$3)/(#REF!*$E$3)</f>
        <v>#REF!</v>
      </c>
    </row>
    <row r="100" spans="1:5" x14ac:dyDescent="0.25">
      <c r="A100" s="17" t="s">
        <v>184</v>
      </c>
      <c r="B100" s="22" t="s">
        <v>185</v>
      </c>
      <c r="C100" s="24">
        <v>1701</v>
      </c>
      <c r="D100" s="24">
        <f t="shared" si="3"/>
        <v>1890</v>
      </c>
      <c r="E100" s="2" t="e">
        <f>(#REF!-#REF!*$E$3)/(#REF!*$E$3)</f>
        <v>#REF!</v>
      </c>
    </row>
    <row r="101" spans="1:5" x14ac:dyDescent="0.25">
      <c r="A101" s="17" t="s">
        <v>186</v>
      </c>
      <c r="B101" s="22" t="s">
        <v>187</v>
      </c>
      <c r="C101" s="24">
        <v>2017</v>
      </c>
      <c r="D101" s="24">
        <f t="shared" si="3"/>
        <v>2242</v>
      </c>
      <c r="E101" s="2" t="e">
        <f>(#REF!-#REF!*$E$3)/(#REF!*$E$3)</f>
        <v>#REF!</v>
      </c>
    </row>
    <row r="102" spans="1:5" x14ac:dyDescent="0.25">
      <c r="A102" s="17" t="s">
        <v>188</v>
      </c>
      <c r="B102" s="22" t="s">
        <v>189</v>
      </c>
      <c r="C102" s="24">
        <v>1819</v>
      </c>
      <c r="D102" s="24">
        <f t="shared" si="3"/>
        <v>2022</v>
      </c>
      <c r="E102" s="2" t="e">
        <f>(#REF!-#REF!*$E$3)/(#REF!*$E$3)</f>
        <v>#REF!</v>
      </c>
    </row>
    <row r="103" spans="1:5" x14ac:dyDescent="0.25">
      <c r="A103" s="17" t="s">
        <v>190</v>
      </c>
      <c r="B103" s="22" t="s">
        <v>191</v>
      </c>
      <c r="C103" s="24"/>
      <c r="D103" s="24">
        <f t="shared" si="3"/>
        <v>0</v>
      </c>
      <c r="E103" s="2" t="e">
        <f>(#REF!-#REF!*$E$3)/(#REF!*$E$3)</f>
        <v>#REF!</v>
      </c>
    </row>
    <row r="104" spans="1:5" x14ac:dyDescent="0.25">
      <c r="A104" s="17" t="s">
        <v>192</v>
      </c>
      <c r="B104" s="22" t="s">
        <v>193</v>
      </c>
      <c r="C104" s="24">
        <v>1819</v>
      </c>
      <c r="D104" s="24">
        <f t="shared" si="3"/>
        <v>2022</v>
      </c>
      <c r="E104" s="2" t="e">
        <f>(#REF!-#REF!*$E$3)/(#REF!*$E$3)</f>
        <v>#REF!</v>
      </c>
    </row>
    <row r="105" spans="1:5" x14ac:dyDescent="0.25">
      <c r="A105" s="17" t="s">
        <v>194</v>
      </c>
      <c r="B105" s="22" t="s">
        <v>195</v>
      </c>
      <c r="C105" s="24"/>
      <c r="D105" s="24">
        <f t="shared" si="3"/>
        <v>0</v>
      </c>
      <c r="E105" s="2" t="e">
        <f>(#REF!-#REF!*$E$3)/(#REF!*$E$3)</f>
        <v>#REF!</v>
      </c>
    </row>
    <row r="106" spans="1:5" x14ac:dyDescent="0.25">
      <c r="A106" s="19" t="s">
        <v>196</v>
      </c>
      <c r="B106" s="40" t="s">
        <v>197</v>
      </c>
      <c r="C106" s="41"/>
      <c r="D106" s="41"/>
      <c r="E106" s="2"/>
    </row>
    <row r="107" spans="1:5" x14ac:dyDescent="0.25">
      <c r="A107" s="17" t="s">
        <v>198</v>
      </c>
      <c r="B107" s="22" t="s">
        <v>199</v>
      </c>
      <c r="C107" s="24">
        <v>3654</v>
      </c>
      <c r="D107" s="24">
        <f t="shared" si="3"/>
        <v>4060</v>
      </c>
      <c r="E107" s="2" t="e">
        <f>(#REF!-#REF!*$E$3)/(#REF!*$E$3)</f>
        <v>#REF!</v>
      </c>
    </row>
    <row r="108" spans="1:5" x14ac:dyDescent="0.25">
      <c r="A108" s="17" t="s">
        <v>200</v>
      </c>
      <c r="B108" s="22" t="s">
        <v>201</v>
      </c>
      <c r="C108" s="24">
        <v>5800</v>
      </c>
      <c r="D108" s="24">
        <f t="shared" si="3"/>
        <v>6445</v>
      </c>
      <c r="E108" s="2" t="e">
        <f>(#REF!-#REF!*$E$3)/(#REF!*$E$3)</f>
        <v>#REF!</v>
      </c>
    </row>
    <row r="109" spans="1:5" x14ac:dyDescent="0.25">
      <c r="A109" s="17" t="s">
        <v>202</v>
      </c>
      <c r="B109" s="22" t="s">
        <v>203</v>
      </c>
      <c r="C109" s="24">
        <v>3800</v>
      </c>
      <c r="D109" s="24">
        <f t="shared" si="3"/>
        <v>4223</v>
      </c>
      <c r="E109" s="2" t="e">
        <f>(#REF!-#REF!*$E$3)/(#REF!*$E$3)</f>
        <v>#REF!</v>
      </c>
    </row>
    <row r="110" spans="1:5" x14ac:dyDescent="0.25">
      <c r="A110" s="17" t="s">
        <v>204</v>
      </c>
      <c r="B110" s="22" t="s">
        <v>205</v>
      </c>
      <c r="C110" s="24">
        <v>4320</v>
      </c>
      <c r="D110" s="24">
        <f t="shared" si="3"/>
        <v>4800</v>
      </c>
      <c r="E110" s="2" t="e">
        <f>(#REF!-#REF!*$E$3)/(#REF!*$E$3)</f>
        <v>#REF!</v>
      </c>
    </row>
    <row r="111" spans="1:5" x14ac:dyDescent="0.25">
      <c r="A111" s="17" t="s">
        <v>206</v>
      </c>
      <c r="B111" s="22" t="s">
        <v>207</v>
      </c>
      <c r="C111" s="24">
        <v>3920</v>
      </c>
      <c r="D111" s="24">
        <f t="shared" si="3"/>
        <v>4356</v>
      </c>
      <c r="E111" s="2" t="e">
        <f>(#REF!-#REF!*$E$3)/(#REF!*$E$3)</f>
        <v>#REF!</v>
      </c>
    </row>
    <row r="112" spans="1:5" x14ac:dyDescent="0.25">
      <c r="A112" s="17" t="s">
        <v>208</v>
      </c>
      <c r="B112" s="22" t="s">
        <v>209</v>
      </c>
      <c r="C112" s="24">
        <v>4320</v>
      </c>
      <c r="D112" s="24">
        <f t="shared" si="3"/>
        <v>4800</v>
      </c>
      <c r="E112" s="2" t="e">
        <f>(#REF!-#REF!*$E$3)/(#REF!*$E$3)</f>
        <v>#REF!</v>
      </c>
    </row>
    <row r="113" spans="1:5" x14ac:dyDescent="0.25">
      <c r="A113" s="17" t="s">
        <v>210</v>
      </c>
      <c r="B113" s="22" t="s">
        <v>211</v>
      </c>
      <c r="C113" s="24">
        <v>4296</v>
      </c>
      <c r="D113" s="24">
        <f t="shared" si="3"/>
        <v>4774</v>
      </c>
      <c r="E113" s="2" t="e">
        <f>(#REF!-#REF!*$E$3)/(#REF!*$E$3)</f>
        <v>#REF!</v>
      </c>
    </row>
    <row r="114" spans="1:5" x14ac:dyDescent="0.25">
      <c r="A114" s="17" t="s">
        <v>212</v>
      </c>
      <c r="B114" s="22" t="s">
        <v>213</v>
      </c>
      <c r="C114" s="24">
        <v>3800</v>
      </c>
      <c r="D114" s="24">
        <f t="shared" si="3"/>
        <v>4223</v>
      </c>
      <c r="E114" s="2" t="e">
        <f>(#REF!-#REF!*$E$3)/(#REF!*$E$3)</f>
        <v>#REF!</v>
      </c>
    </row>
    <row r="115" spans="1:5" x14ac:dyDescent="0.25">
      <c r="A115" s="19" t="s">
        <v>214</v>
      </c>
      <c r="B115" s="40" t="s">
        <v>215</v>
      </c>
      <c r="C115" s="41"/>
      <c r="D115" s="41"/>
      <c r="E115" s="2"/>
    </row>
    <row r="116" spans="1:5" x14ac:dyDescent="0.25">
      <c r="A116" s="17" t="s">
        <v>216</v>
      </c>
      <c r="B116" s="22" t="s">
        <v>240</v>
      </c>
      <c r="C116" s="24">
        <v>1815</v>
      </c>
      <c r="D116" s="24">
        <f t="shared" si="3"/>
        <v>2017</v>
      </c>
      <c r="E116" s="2" t="e">
        <f>(#REF!-#REF!*$E$3)/(#REF!*$E$3)</f>
        <v>#REF!</v>
      </c>
    </row>
    <row r="117" spans="1:5" x14ac:dyDescent="0.25">
      <c r="A117" s="17" t="s">
        <v>217</v>
      </c>
      <c r="B117" s="22" t="s">
        <v>218</v>
      </c>
      <c r="C117" s="24">
        <v>1869</v>
      </c>
      <c r="D117" s="24">
        <f t="shared" si="3"/>
        <v>2077</v>
      </c>
      <c r="E117" s="2" t="e">
        <f>(#REF!-#REF!*$E$3)/(#REF!*$E$3)</f>
        <v>#REF!</v>
      </c>
    </row>
    <row r="118" spans="1:5" x14ac:dyDescent="0.25">
      <c r="A118" s="17" t="s">
        <v>219</v>
      </c>
      <c r="B118" s="22" t="s">
        <v>220</v>
      </c>
      <c r="C118" s="24">
        <v>3025</v>
      </c>
      <c r="D118" s="24">
        <f t="shared" si="3"/>
        <v>3362</v>
      </c>
      <c r="E118" s="2" t="e">
        <f>(#REF!-#REF!*$E$3)/(#REF!*$E$3)</f>
        <v>#REF!</v>
      </c>
    </row>
    <row r="119" spans="1:5" x14ac:dyDescent="0.25">
      <c r="A119" s="17" t="s">
        <v>221</v>
      </c>
      <c r="B119" s="22" t="s">
        <v>222</v>
      </c>
      <c r="C119" s="24">
        <v>2690</v>
      </c>
      <c r="D119" s="24">
        <f t="shared" si="3"/>
        <v>2989</v>
      </c>
      <c r="E119" s="2" t="e">
        <f>(#REF!-#REF!*$E$3)/(#REF!*$E$3)</f>
        <v>#REF!</v>
      </c>
    </row>
    <row r="120" spans="1:5" x14ac:dyDescent="0.25">
      <c r="A120" s="17" t="s">
        <v>223</v>
      </c>
      <c r="B120" s="22" t="s">
        <v>238</v>
      </c>
      <c r="C120" s="24">
        <v>1867</v>
      </c>
      <c r="D120" s="24">
        <f t="shared" si="3"/>
        <v>2075</v>
      </c>
      <c r="E120" s="2" t="e">
        <f>(#REF!-#REF!*$E$3)/(#REF!*$E$3)</f>
        <v>#REF!</v>
      </c>
    </row>
    <row r="121" spans="1:5" x14ac:dyDescent="0.25">
      <c r="A121" s="17" t="s">
        <v>224</v>
      </c>
      <c r="B121" s="22" t="s">
        <v>225</v>
      </c>
      <c r="C121" s="24">
        <v>3178</v>
      </c>
      <c r="D121" s="24">
        <f t="shared" si="3"/>
        <v>3532</v>
      </c>
      <c r="E121" s="2" t="e">
        <f>(#REF!-#REF!*$E$3)/(#REF!*$E$3)</f>
        <v>#REF!</v>
      </c>
    </row>
    <row r="122" spans="1:5" x14ac:dyDescent="0.25">
      <c r="A122" s="17" t="s">
        <v>226</v>
      </c>
      <c r="B122" s="22" t="s">
        <v>239</v>
      </c>
      <c r="C122" s="24">
        <v>1764</v>
      </c>
      <c r="D122" s="24">
        <f t="shared" si="3"/>
        <v>1960</v>
      </c>
      <c r="E122" s="2" t="e">
        <f>(#REF!-#REF!*$E$3)/(#REF!*$E$3)</f>
        <v>#REF!</v>
      </c>
    </row>
    <row r="123" spans="1:5" x14ac:dyDescent="0.25">
      <c r="A123" s="17" t="s">
        <v>227</v>
      </c>
      <c r="B123" s="22" t="s">
        <v>228</v>
      </c>
      <c r="C123" s="24">
        <v>4700</v>
      </c>
      <c r="D123" s="24">
        <f t="shared" ref="D123:D128" si="5">ROUNDUP(C123/0.9,0)</f>
        <v>5223</v>
      </c>
      <c r="E123" s="2" t="e">
        <f>(#REF!-#REF!*$E$3)/(#REF!*$E$3)</f>
        <v>#REF!</v>
      </c>
    </row>
    <row r="124" spans="1:5" x14ac:dyDescent="0.25">
      <c r="A124" s="17" t="s">
        <v>229</v>
      </c>
      <c r="B124" s="22" t="s">
        <v>230</v>
      </c>
      <c r="C124" s="24">
        <v>5725</v>
      </c>
      <c r="D124" s="24">
        <f t="shared" si="5"/>
        <v>6362</v>
      </c>
      <c r="E124" s="2" t="e">
        <f>(#REF!-#REF!*$E$3)/(#REF!*$E$3)</f>
        <v>#REF!</v>
      </c>
    </row>
    <row r="125" spans="1:5" x14ac:dyDescent="0.25">
      <c r="A125" s="17" t="s">
        <v>231</v>
      </c>
      <c r="B125" s="22" t="s">
        <v>232</v>
      </c>
      <c r="C125" s="24">
        <v>2195</v>
      </c>
      <c r="D125" s="24">
        <f t="shared" si="5"/>
        <v>2439</v>
      </c>
      <c r="E125" s="2" t="e">
        <f>(#REF!-#REF!*$E$3)/(#REF!*$E$3)</f>
        <v>#REF!</v>
      </c>
    </row>
    <row r="126" spans="1:5" x14ac:dyDescent="0.25">
      <c r="A126" s="17" t="s">
        <v>236</v>
      </c>
      <c r="B126" s="22" t="s">
        <v>237</v>
      </c>
      <c r="C126" s="24"/>
      <c r="D126" s="24">
        <f t="shared" si="5"/>
        <v>0</v>
      </c>
      <c r="E126" s="2" t="e">
        <f>(#REF!-#REF!*$E$3)/(#REF!*$E$3)</f>
        <v>#REF!</v>
      </c>
    </row>
    <row r="127" spans="1:5" x14ac:dyDescent="0.25">
      <c r="A127" s="17" t="s">
        <v>233</v>
      </c>
      <c r="B127" s="17" t="s">
        <v>234</v>
      </c>
      <c r="C127" s="18"/>
      <c r="D127" s="18">
        <f t="shared" si="5"/>
        <v>0</v>
      </c>
      <c r="E127" s="2" t="e">
        <f>(#REF!-#REF!*$E$3)/(#REF!*$E$3)</f>
        <v>#REF!</v>
      </c>
    </row>
    <row r="128" spans="1:5" x14ac:dyDescent="0.25">
      <c r="A128" s="17" t="s">
        <v>233</v>
      </c>
      <c r="B128" s="17" t="s">
        <v>235</v>
      </c>
      <c r="C128" s="18"/>
      <c r="D128" s="18">
        <f t="shared" si="5"/>
        <v>0</v>
      </c>
      <c r="E128" s="2" t="e">
        <f>(#REF!-#REF!*$E$3)/(#REF!*$E$3)</f>
        <v>#REF!</v>
      </c>
    </row>
    <row r="129" spans="1:5" x14ac:dyDescent="0.25">
      <c r="A129" s="17" t="s">
        <v>510</v>
      </c>
      <c r="B129" s="17" t="s">
        <v>511</v>
      </c>
      <c r="C129" s="18">
        <v>2956</v>
      </c>
      <c r="D129" s="18">
        <f t="shared" ref="D129" si="6">ROUNDUP(C129/0.9,0)</f>
        <v>3285</v>
      </c>
      <c r="E129" s="2" t="e">
        <f>(#REF!-#REF!*$E$3)/(#REF!*$E$3)</f>
        <v>#REF!</v>
      </c>
    </row>
  </sheetData>
  <mergeCells count="9">
    <mergeCell ref="B97:D97"/>
    <mergeCell ref="B106:D106"/>
    <mergeCell ref="B115:D115"/>
    <mergeCell ref="B3:D3"/>
    <mergeCell ref="C1:D1"/>
    <mergeCell ref="B37:D37"/>
    <mergeCell ref="B44:D44"/>
    <mergeCell ref="B68:D68"/>
    <mergeCell ref="B89:D8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52"/>
  <sheetViews>
    <sheetView topLeftCell="A139" workbookViewId="0">
      <selection activeCell="A140" sqref="A140"/>
    </sheetView>
  </sheetViews>
  <sheetFormatPr defaultColWidth="8.77734375" defaultRowHeight="13.2" x14ac:dyDescent="0.25"/>
  <cols>
    <col min="1" max="1" width="26" customWidth="1"/>
    <col min="2" max="2" width="55.88671875" customWidth="1"/>
  </cols>
  <sheetData>
    <row r="2" spans="1:2" x14ac:dyDescent="0.25">
      <c r="A2" s="49" t="s">
        <v>241</v>
      </c>
      <c r="B2" s="50"/>
    </row>
    <row r="3" spans="1:2" ht="23.4" x14ac:dyDescent="0.25">
      <c r="A3" s="4" t="s">
        <v>242</v>
      </c>
      <c r="B3" s="5" t="s">
        <v>243</v>
      </c>
    </row>
    <row r="4" spans="1:2" ht="23.4" x14ac:dyDescent="0.25">
      <c r="A4" s="4" t="s">
        <v>244</v>
      </c>
      <c r="B4" s="5" t="s">
        <v>245</v>
      </c>
    </row>
    <row r="5" spans="1:2" x14ac:dyDescent="0.25">
      <c r="A5" s="4" t="s">
        <v>246</v>
      </c>
      <c r="B5" s="5" t="s">
        <v>247</v>
      </c>
    </row>
    <row r="6" spans="1:2" ht="23.4" x14ac:dyDescent="0.25">
      <c r="A6" s="4" t="s">
        <v>248</v>
      </c>
      <c r="B6" s="5" t="s">
        <v>249</v>
      </c>
    </row>
    <row r="7" spans="1:2" x14ac:dyDescent="0.25">
      <c r="A7" s="4" t="s">
        <v>250</v>
      </c>
      <c r="B7" s="5" t="s">
        <v>251</v>
      </c>
    </row>
    <row r="8" spans="1:2" x14ac:dyDescent="0.25">
      <c r="A8" s="4" t="s">
        <v>252</v>
      </c>
      <c r="B8" s="5" t="s">
        <v>253</v>
      </c>
    </row>
    <row r="9" spans="1:2" x14ac:dyDescent="0.25">
      <c r="A9" s="4" t="s">
        <v>254</v>
      </c>
      <c r="B9" s="5" t="s">
        <v>255</v>
      </c>
    </row>
    <row r="10" spans="1:2" ht="23.4" x14ac:dyDescent="0.25">
      <c r="A10" s="4" t="s">
        <v>256</v>
      </c>
      <c r="B10" s="5" t="s">
        <v>257</v>
      </c>
    </row>
    <row r="11" spans="1:2" ht="23.4" x14ac:dyDescent="0.25">
      <c r="A11" s="4" t="s">
        <v>258</v>
      </c>
      <c r="B11" s="5" t="s">
        <v>259</v>
      </c>
    </row>
    <row r="12" spans="1:2" ht="23.4" x14ac:dyDescent="0.25">
      <c r="A12" s="4" t="s">
        <v>260</v>
      </c>
      <c r="B12" s="5" t="s">
        <v>261</v>
      </c>
    </row>
    <row r="13" spans="1:2" ht="23.4" x14ac:dyDescent="0.25">
      <c r="A13" s="4" t="s">
        <v>262</v>
      </c>
      <c r="B13" s="5" t="s">
        <v>263</v>
      </c>
    </row>
    <row r="14" spans="1:2" x14ac:dyDescent="0.25">
      <c r="A14" s="4" t="s">
        <v>264</v>
      </c>
      <c r="B14" s="5" t="s">
        <v>265</v>
      </c>
    </row>
    <row r="15" spans="1:2" ht="23.4" x14ac:dyDescent="0.25">
      <c r="A15" s="4" t="s">
        <v>266</v>
      </c>
      <c r="B15" s="5" t="s">
        <v>267</v>
      </c>
    </row>
    <row r="16" spans="1:2" ht="23.4" x14ac:dyDescent="0.25">
      <c r="A16" s="4" t="s">
        <v>268</v>
      </c>
      <c r="B16" s="5" t="s">
        <v>269</v>
      </c>
    </row>
    <row r="17" spans="1:2" ht="34.799999999999997" x14ac:dyDescent="0.25">
      <c r="A17" s="4" t="s">
        <v>270</v>
      </c>
      <c r="B17" s="5" t="s">
        <v>271</v>
      </c>
    </row>
    <row r="18" spans="1:2" ht="34.799999999999997" x14ac:dyDescent="0.25">
      <c r="A18" s="4" t="s">
        <v>272</v>
      </c>
      <c r="B18" s="5" t="s">
        <v>273</v>
      </c>
    </row>
    <row r="19" spans="1:2" ht="23.4" x14ac:dyDescent="0.25">
      <c r="A19" s="4" t="s">
        <v>274</v>
      </c>
      <c r="B19" s="5" t="s">
        <v>275</v>
      </c>
    </row>
    <row r="20" spans="1:2" ht="23.4" x14ac:dyDescent="0.25">
      <c r="A20" s="4" t="s">
        <v>276</v>
      </c>
      <c r="B20" s="5" t="s">
        <v>277</v>
      </c>
    </row>
    <row r="21" spans="1:2" ht="23.4" x14ac:dyDescent="0.25">
      <c r="A21" s="4" t="s">
        <v>278</v>
      </c>
      <c r="B21" s="5" t="s">
        <v>279</v>
      </c>
    </row>
    <row r="22" spans="1:2" ht="23.4" x14ac:dyDescent="0.25">
      <c r="A22" s="4" t="s">
        <v>280</v>
      </c>
      <c r="B22" s="5" t="s">
        <v>281</v>
      </c>
    </row>
    <row r="23" spans="1:2" ht="23.4" x14ac:dyDescent="0.25">
      <c r="A23" s="4" t="s">
        <v>282</v>
      </c>
      <c r="B23" s="5" t="s">
        <v>283</v>
      </c>
    </row>
    <row r="24" spans="1:2" ht="23.4" x14ac:dyDescent="0.25">
      <c r="A24" s="4" t="s">
        <v>284</v>
      </c>
      <c r="B24" s="5" t="s">
        <v>285</v>
      </c>
    </row>
    <row r="25" spans="1:2" ht="23.4" x14ac:dyDescent="0.25">
      <c r="A25" s="4" t="s">
        <v>286</v>
      </c>
      <c r="B25" s="5" t="s">
        <v>287</v>
      </c>
    </row>
    <row r="26" spans="1:2" ht="23.4" x14ac:dyDescent="0.25">
      <c r="A26" s="4" t="s">
        <v>288</v>
      </c>
      <c r="B26" s="5" t="s">
        <v>289</v>
      </c>
    </row>
    <row r="27" spans="1:2" x14ac:dyDescent="0.25">
      <c r="A27" s="4" t="s">
        <v>290</v>
      </c>
      <c r="B27" s="5" t="s">
        <v>291</v>
      </c>
    </row>
    <row r="28" spans="1:2" ht="23.4" x14ac:dyDescent="0.25">
      <c r="A28" s="4" t="s">
        <v>292</v>
      </c>
      <c r="B28" s="5" t="s">
        <v>293</v>
      </c>
    </row>
    <row r="29" spans="1:2" ht="34.799999999999997" x14ac:dyDescent="0.25">
      <c r="A29" s="4" t="s">
        <v>294</v>
      </c>
      <c r="B29" s="5" t="s">
        <v>295</v>
      </c>
    </row>
    <row r="30" spans="1:2" ht="34.799999999999997" x14ac:dyDescent="0.25">
      <c r="A30" s="4" t="s">
        <v>296</v>
      </c>
      <c r="B30" s="5" t="s">
        <v>297</v>
      </c>
    </row>
    <row r="31" spans="1:2" ht="23.4" x14ac:dyDescent="0.25">
      <c r="A31" s="4" t="s">
        <v>298</v>
      </c>
      <c r="B31" s="5" t="s">
        <v>299</v>
      </c>
    </row>
    <row r="32" spans="1:2" ht="46.2" x14ac:dyDescent="0.25">
      <c r="A32" s="4" t="s">
        <v>300</v>
      </c>
      <c r="B32" s="5" t="s">
        <v>301</v>
      </c>
    </row>
    <row r="33" spans="1:2" x14ac:dyDescent="0.25">
      <c r="A33" s="4" t="s">
        <v>302</v>
      </c>
      <c r="B33" s="6" t="s">
        <v>303</v>
      </c>
    </row>
    <row r="34" spans="1:2" x14ac:dyDescent="0.25">
      <c r="A34" s="49" t="s">
        <v>304</v>
      </c>
      <c r="B34" s="50"/>
    </row>
    <row r="35" spans="1:2" ht="22.8" x14ac:dyDescent="0.25">
      <c r="A35" s="7" t="s">
        <v>305</v>
      </c>
      <c r="B35" s="8" t="s">
        <v>306</v>
      </c>
    </row>
    <row r="36" spans="1:2" ht="23.4" x14ac:dyDescent="0.25">
      <c r="A36" s="9" t="s">
        <v>307</v>
      </c>
      <c r="B36" s="10" t="s">
        <v>308</v>
      </c>
    </row>
    <row r="37" spans="1:2" ht="23.4" x14ac:dyDescent="0.25">
      <c r="A37" s="9" t="s">
        <v>309</v>
      </c>
      <c r="B37" s="10" t="s">
        <v>310</v>
      </c>
    </row>
    <row r="38" spans="1:2" ht="34.799999999999997" x14ac:dyDescent="0.25">
      <c r="A38" s="9" t="s">
        <v>311</v>
      </c>
      <c r="B38" s="10" t="s">
        <v>312</v>
      </c>
    </row>
    <row r="39" spans="1:2" ht="34.799999999999997" x14ac:dyDescent="0.25">
      <c r="A39" s="9" t="s">
        <v>313</v>
      </c>
      <c r="B39" s="10" t="s">
        <v>314</v>
      </c>
    </row>
    <row r="40" spans="1:2" ht="23.4" x14ac:dyDescent="0.25">
      <c r="A40" s="11" t="s">
        <v>315</v>
      </c>
      <c r="B40" s="12" t="s">
        <v>316</v>
      </c>
    </row>
    <row r="41" spans="1:2" ht="34.799999999999997" x14ac:dyDescent="0.25">
      <c r="A41" s="9" t="s">
        <v>317</v>
      </c>
      <c r="B41" s="10" t="s">
        <v>318</v>
      </c>
    </row>
    <row r="42" spans="1:2" ht="34.799999999999997" x14ac:dyDescent="0.25">
      <c r="A42" s="11" t="s">
        <v>72</v>
      </c>
      <c r="B42" s="12" t="s">
        <v>319</v>
      </c>
    </row>
    <row r="43" spans="1:2" ht="39.6" x14ac:dyDescent="0.25">
      <c r="A43" s="9" t="s">
        <v>320</v>
      </c>
      <c r="B43" s="13" t="s">
        <v>321</v>
      </c>
    </row>
    <row r="44" spans="1:2" ht="52.8" x14ac:dyDescent="0.25">
      <c r="A44" s="9" t="s">
        <v>322</v>
      </c>
      <c r="B44" s="13" t="s">
        <v>323</v>
      </c>
    </row>
    <row r="45" spans="1:2" ht="34.799999999999997" x14ac:dyDescent="0.25">
      <c r="A45" s="9" t="s">
        <v>324</v>
      </c>
      <c r="B45" s="10" t="s">
        <v>325</v>
      </c>
    </row>
    <row r="46" spans="1:2" ht="23.4" x14ac:dyDescent="0.25">
      <c r="A46" s="9" t="s">
        <v>326</v>
      </c>
      <c r="B46" s="10" t="s">
        <v>327</v>
      </c>
    </row>
    <row r="47" spans="1:2" ht="34.799999999999997" x14ac:dyDescent="0.25">
      <c r="A47" s="9" t="s">
        <v>328</v>
      </c>
      <c r="B47" s="10" t="s">
        <v>329</v>
      </c>
    </row>
    <row r="48" spans="1:2" ht="34.799999999999997" x14ac:dyDescent="0.25">
      <c r="A48" s="9" t="s">
        <v>330</v>
      </c>
      <c r="B48" s="10" t="s">
        <v>331</v>
      </c>
    </row>
    <row r="49" spans="1:2" x14ac:dyDescent="0.25">
      <c r="A49" s="49" t="s">
        <v>332</v>
      </c>
      <c r="B49" s="50"/>
    </row>
    <row r="50" spans="1:2" ht="23.4" x14ac:dyDescent="0.25">
      <c r="A50" s="11" t="s">
        <v>6</v>
      </c>
      <c r="B50" s="12" t="s">
        <v>333</v>
      </c>
    </row>
    <row r="51" spans="1:2" ht="23.4" x14ac:dyDescent="0.25">
      <c r="A51" s="9" t="s">
        <v>8</v>
      </c>
      <c r="B51" s="10" t="s">
        <v>334</v>
      </c>
    </row>
    <row r="52" spans="1:2" x14ac:dyDescent="0.25">
      <c r="A52" s="9" t="s">
        <v>10</v>
      </c>
      <c r="B52" s="10" t="s">
        <v>335</v>
      </c>
    </row>
    <row r="53" spans="1:2" ht="23.4" x14ac:dyDescent="0.25">
      <c r="A53" s="9" t="s">
        <v>336</v>
      </c>
      <c r="B53" s="10" t="s">
        <v>337</v>
      </c>
    </row>
    <row r="54" spans="1:2" ht="23.4" x14ac:dyDescent="0.25">
      <c r="A54" s="9" t="s">
        <v>338</v>
      </c>
      <c r="B54" s="10" t="s">
        <v>339</v>
      </c>
    </row>
    <row r="55" spans="1:2" ht="23.4" x14ac:dyDescent="0.25">
      <c r="A55" s="11" t="s">
        <v>14</v>
      </c>
      <c r="B55" s="12" t="s">
        <v>508</v>
      </c>
    </row>
    <row r="56" spans="1:2" ht="23.4" x14ac:dyDescent="0.25">
      <c r="A56" s="9" t="s">
        <v>340</v>
      </c>
      <c r="B56" s="10" t="s">
        <v>341</v>
      </c>
    </row>
    <row r="57" spans="1:2" ht="23.4" x14ac:dyDescent="0.25">
      <c r="A57" s="11" t="s">
        <v>50</v>
      </c>
      <c r="B57" s="12" t="s">
        <v>342</v>
      </c>
    </row>
    <row r="58" spans="1:2" ht="23.4" x14ac:dyDescent="0.25">
      <c r="A58" s="11" t="s">
        <v>343</v>
      </c>
      <c r="B58" s="12" t="s">
        <v>509</v>
      </c>
    </row>
    <row r="59" spans="1:2" ht="23.4" x14ac:dyDescent="0.25">
      <c r="A59" s="9" t="s">
        <v>344</v>
      </c>
      <c r="B59" s="10" t="s">
        <v>345</v>
      </c>
    </row>
    <row r="60" spans="1:2" x14ac:dyDescent="0.25">
      <c r="A60" s="9" t="s">
        <v>346</v>
      </c>
      <c r="B60" s="10" t="s">
        <v>347</v>
      </c>
    </row>
    <row r="61" spans="1:2" ht="23.4" x14ac:dyDescent="0.25">
      <c r="A61" s="9" t="s">
        <v>348</v>
      </c>
      <c r="B61" s="10" t="s">
        <v>349</v>
      </c>
    </row>
    <row r="62" spans="1:2" ht="23.4" x14ac:dyDescent="0.25">
      <c r="A62" s="9" t="s">
        <v>350</v>
      </c>
      <c r="B62" s="10" t="s">
        <v>351</v>
      </c>
    </row>
    <row r="63" spans="1:2" ht="23.4" x14ac:dyDescent="0.25">
      <c r="A63" s="9" t="s">
        <v>26</v>
      </c>
      <c r="B63" s="10" t="s">
        <v>352</v>
      </c>
    </row>
    <row r="64" spans="1:2" x14ac:dyDescent="0.25">
      <c r="A64" s="9" t="s">
        <v>353</v>
      </c>
      <c r="B64" s="10" t="s">
        <v>354</v>
      </c>
    </row>
    <row r="65" spans="1:2" ht="23.4" x14ac:dyDescent="0.25">
      <c r="A65" s="9" t="s">
        <v>355</v>
      </c>
      <c r="B65" s="10" t="s">
        <v>356</v>
      </c>
    </row>
    <row r="66" spans="1:2" x14ac:dyDescent="0.25">
      <c r="A66" s="11" t="s">
        <v>32</v>
      </c>
      <c r="B66" s="12" t="s">
        <v>357</v>
      </c>
    </row>
    <row r="67" spans="1:2" ht="23.4" x14ac:dyDescent="0.25">
      <c r="A67" s="9" t="s">
        <v>34</v>
      </c>
      <c r="B67" s="10" t="s">
        <v>358</v>
      </c>
    </row>
    <row r="68" spans="1:2" ht="34.799999999999997" x14ac:dyDescent="0.25">
      <c r="A68" s="9" t="s">
        <v>359</v>
      </c>
      <c r="B68" s="10" t="s">
        <v>360</v>
      </c>
    </row>
    <row r="69" spans="1:2" ht="46.2" x14ac:dyDescent="0.25">
      <c r="A69" s="9" t="s">
        <v>361</v>
      </c>
      <c r="B69" s="10" t="s">
        <v>362</v>
      </c>
    </row>
    <row r="70" spans="1:2" ht="34.799999999999997" x14ac:dyDescent="0.25">
      <c r="A70" s="9" t="s">
        <v>363</v>
      </c>
      <c r="B70" s="10" t="s">
        <v>364</v>
      </c>
    </row>
    <row r="71" spans="1:2" ht="34.799999999999997" x14ac:dyDescent="0.25">
      <c r="A71" s="9" t="s">
        <v>365</v>
      </c>
      <c r="B71" s="10" t="s">
        <v>366</v>
      </c>
    </row>
    <row r="72" spans="1:2" ht="34.799999999999997" x14ac:dyDescent="0.25">
      <c r="A72" s="11" t="s">
        <v>367</v>
      </c>
      <c r="B72" s="12" t="s">
        <v>368</v>
      </c>
    </row>
    <row r="73" spans="1:2" ht="23.4" x14ac:dyDescent="0.25">
      <c r="A73" s="11" t="s">
        <v>369</v>
      </c>
      <c r="B73" s="12" t="s">
        <v>370</v>
      </c>
    </row>
    <row r="74" spans="1:2" ht="23.4" x14ac:dyDescent="0.25">
      <c r="A74" s="9" t="s">
        <v>371</v>
      </c>
      <c r="B74" s="10" t="s">
        <v>372</v>
      </c>
    </row>
    <row r="75" spans="1:2" ht="23.4" x14ac:dyDescent="0.25">
      <c r="A75" s="9" t="s">
        <v>373</v>
      </c>
      <c r="B75" s="10" t="s">
        <v>374</v>
      </c>
    </row>
    <row r="76" spans="1:2" x14ac:dyDescent="0.25">
      <c r="A76" s="9" t="s">
        <v>375</v>
      </c>
      <c r="B76" s="10" t="s">
        <v>376</v>
      </c>
    </row>
    <row r="77" spans="1:2" ht="23.4" x14ac:dyDescent="0.25">
      <c r="A77" s="9" t="s">
        <v>377</v>
      </c>
      <c r="B77" s="10" t="s">
        <v>378</v>
      </c>
    </row>
    <row r="78" spans="1:2" ht="23.4" x14ac:dyDescent="0.25">
      <c r="A78" s="9" t="s">
        <v>379</v>
      </c>
      <c r="B78" s="10" t="s">
        <v>380</v>
      </c>
    </row>
    <row r="79" spans="1:2" ht="23.4" x14ac:dyDescent="0.25">
      <c r="A79" s="9" t="s">
        <v>381</v>
      </c>
      <c r="B79" s="10" t="s">
        <v>382</v>
      </c>
    </row>
    <row r="80" spans="1:2" x14ac:dyDescent="0.25">
      <c r="A80" s="9" t="s">
        <v>46</v>
      </c>
      <c r="B80" s="10" t="s">
        <v>383</v>
      </c>
    </row>
    <row r="81" spans="1:2" ht="23.4" x14ac:dyDescent="0.25">
      <c r="A81" s="34" t="s">
        <v>513</v>
      </c>
      <c r="B81" s="10" t="s">
        <v>518</v>
      </c>
    </row>
    <row r="82" spans="1:2" ht="23.4" x14ac:dyDescent="0.25">
      <c r="A82" s="34" t="s">
        <v>515</v>
      </c>
      <c r="B82" s="10" t="s">
        <v>519</v>
      </c>
    </row>
    <row r="83" spans="1:2" ht="23.4" x14ac:dyDescent="0.25">
      <c r="A83" s="34" t="s">
        <v>517</v>
      </c>
      <c r="B83" s="10" t="s">
        <v>520</v>
      </c>
    </row>
    <row r="84" spans="1:2" x14ac:dyDescent="0.25">
      <c r="A84" s="49" t="s">
        <v>384</v>
      </c>
      <c r="B84" s="50"/>
    </row>
    <row r="85" spans="1:2" ht="46.2" x14ac:dyDescent="0.25">
      <c r="A85" s="4" t="s">
        <v>385</v>
      </c>
      <c r="B85" s="10" t="s">
        <v>386</v>
      </c>
    </row>
    <row r="86" spans="1:2" ht="57.6" x14ac:dyDescent="0.25">
      <c r="A86" s="4" t="s">
        <v>387</v>
      </c>
      <c r="B86" s="10" t="s">
        <v>388</v>
      </c>
    </row>
    <row r="87" spans="1:2" ht="23.4" x14ac:dyDescent="0.25">
      <c r="A87" s="4" t="s">
        <v>140</v>
      </c>
      <c r="B87" s="10" t="s">
        <v>389</v>
      </c>
    </row>
    <row r="88" spans="1:2" ht="34.799999999999997" x14ac:dyDescent="0.25">
      <c r="A88" s="4" t="s">
        <v>138</v>
      </c>
      <c r="B88" s="10" t="s">
        <v>390</v>
      </c>
    </row>
    <row r="89" spans="1:2" x14ac:dyDescent="0.25">
      <c r="A89" s="4" t="s">
        <v>132</v>
      </c>
      <c r="B89" s="10" t="s">
        <v>391</v>
      </c>
    </row>
    <row r="90" spans="1:2" ht="91.8" x14ac:dyDescent="0.25">
      <c r="A90" s="4" t="s">
        <v>392</v>
      </c>
      <c r="B90" s="10" t="s">
        <v>393</v>
      </c>
    </row>
    <row r="91" spans="1:2" ht="57.6" x14ac:dyDescent="0.25">
      <c r="A91" s="4" t="s">
        <v>394</v>
      </c>
      <c r="B91" s="10" t="s">
        <v>395</v>
      </c>
    </row>
    <row r="92" spans="1:2" ht="46.2" x14ac:dyDescent="0.25">
      <c r="A92" s="4" t="s">
        <v>396</v>
      </c>
      <c r="B92" s="10" t="s">
        <v>397</v>
      </c>
    </row>
    <row r="93" spans="1:2" ht="57.6" x14ac:dyDescent="0.25">
      <c r="A93" s="4" t="s">
        <v>398</v>
      </c>
      <c r="B93" s="10" t="s">
        <v>399</v>
      </c>
    </row>
    <row r="94" spans="1:2" ht="57.6" x14ac:dyDescent="0.25">
      <c r="A94" s="4" t="s">
        <v>400</v>
      </c>
      <c r="B94" s="10" t="s">
        <v>401</v>
      </c>
    </row>
    <row r="95" spans="1:2" ht="46.2" x14ac:dyDescent="0.25">
      <c r="A95" s="4" t="s">
        <v>402</v>
      </c>
      <c r="B95" s="10" t="s">
        <v>403</v>
      </c>
    </row>
    <row r="96" spans="1:2" ht="69" x14ac:dyDescent="0.25">
      <c r="A96" s="4" t="s">
        <v>404</v>
      </c>
      <c r="B96" s="10" t="s">
        <v>405</v>
      </c>
    </row>
    <row r="97" spans="1:2" ht="46.2" x14ac:dyDescent="0.25">
      <c r="A97" s="4" t="s">
        <v>406</v>
      </c>
      <c r="B97" s="10" t="s">
        <v>407</v>
      </c>
    </row>
    <row r="98" spans="1:2" ht="69" x14ac:dyDescent="0.25">
      <c r="A98" s="4" t="s">
        <v>408</v>
      </c>
      <c r="B98" s="10" t="s">
        <v>409</v>
      </c>
    </row>
    <row r="99" spans="1:2" ht="69" x14ac:dyDescent="0.25">
      <c r="A99" s="4" t="s">
        <v>410</v>
      </c>
      <c r="B99" s="10" t="s">
        <v>411</v>
      </c>
    </row>
    <row r="100" spans="1:2" ht="57.6" x14ac:dyDescent="0.25">
      <c r="A100" s="4" t="s">
        <v>146</v>
      </c>
      <c r="B100" s="10" t="s">
        <v>412</v>
      </c>
    </row>
    <row r="101" spans="1:2" ht="23.4" x14ac:dyDescent="0.25">
      <c r="A101" s="4" t="s">
        <v>413</v>
      </c>
      <c r="B101" s="10" t="s">
        <v>414</v>
      </c>
    </row>
    <row r="102" spans="1:2" ht="23.4" x14ac:dyDescent="0.25">
      <c r="A102" s="4" t="s">
        <v>415</v>
      </c>
      <c r="B102" s="10" t="s">
        <v>416</v>
      </c>
    </row>
    <row r="103" spans="1:2" ht="69" x14ac:dyDescent="0.25">
      <c r="A103" s="4" t="s">
        <v>417</v>
      </c>
      <c r="B103" s="10" t="s">
        <v>418</v>
      </c>
    </row>
    <row r="104" spans="1:2" ht="69" x14ac:dyDescent="0.25">
      <c r="A104" s="4" t="s">
        <v>152</v>
      </c>
      <c r="B104" s="10" t="s">
        <v>419</v>
      </c>
    </row>
    <row r="105" spans="1:2" ht="91.8" x14ac:dyDescent="0.25">
      <c r="A105" s="14" t="s">
        <v>420</v>
      </c>
      <c r="B105" s="15" t="s">
        <v>421</v>
      </c>
    </row>
    <row r="106" spans="1:2" ht="69" x14ac:dyDescent="0.25">
      <c r="A106" s="14" t="s">
        <v>422</v>
      </c>
      <c r="B106" s="15" t="s">
        <v>423</v>
      </c>
    </row>
    <row r="107" spans="1:2" ht="69" x14ac:dyDescent="0.25">
      <c r="A107" s="16" t="s">
        <v>424</v>
      </c>
      <c r="B107" s="15" t="s">
        <v>425</v>
      </c>
    </row>
    <row r="108" spans="1:2" ht="46.2" x14ac:dyDescent="0.25">
      <c r="A108" s="16" t="s">
        <v>426</v>
      </c>
      <c r="B108" s="15" t="s">
        <v>427</v>
      </c>
    </row>
    <row r="109" spans="1:2" ht="46.2" x14ac:dyDescent="0.25">
      <c r="A109" s="14" t="s">
        <v>428</v>
      </c>
      <c r="B109" s="15" t="s">
        <v>429</v>
      </c>
    </row>
    <row r="110" spans="1:2" ht="69" x14ac:dyDescent="0.25">
      <c r="A110" s="14" t="s">
        <v>430</v>
      </c>
      <c r="B110" s="15" t="s">
        <v>431</v>
      </c>
    </row>
    <row r="111" spans="1:2" x14ac:dyDescent="0.25">
      <c r="A111" s="49" t="s">
        <v>432</v>
      </c>
      <c r="B111" s="50"/>
    </row>
    <row r="112" spans="1:2" ht="23.4" x14ac:dyDescent="0.25">
      <c r="A112" s="4" t="s">
        <v>433</v>
      </c>
      <c r="B112" s="10" t="s">
        <v>434</v>
      </c>
    </row>
    <row r="113" spans="1:2" ht="23.4" x14ac:dyDescent="0.25">
      <c r="A113" s="4" t="s">
        <v>435</v>
      </c>
      <c r="B113" s="10" t="s">
        <v>436</v>
      </c>
    </row>
    <row r="114" spans="1:2" ht="23.4" x14ac:dyDescent="0.25">
      <c r="A114" s="4" t="s">
        <v>437</v>
      </c>
      <c r="B114" s="1" t="s">
        <v>438</v>
      </c>
    </row>
    <row r="115" spans="1:2" ht="23.4" x14ac:dyDescent="0.25">
      <c r="A115" s="4" t="s">
        <v>439</v>
      </c>
      <c r="B115" s="10" t="s">
        <v>440</v>
      </c>
    </row>
    <row r="116" spans="1:2" ht="23.4" x14ac:dyDescent="0.25">
      <c r="A116" s="4" t="s">
        <v>441</v>
      </c>
      <c r="B116" s="10" t="s">
        <v>442</v>
      </c>
    </row>
    <row r="117" spans="1:2" x14ac:dyDescent="0.25">
      <c r="A117" s="51" t="s">
        <v>443</v>
      </c>
      <c r="B117" s="50"/>
    </row>
    <row r="118" spans="1:2" x14ac:dyDescent="0.25">
      <c r="A118" s="9" t="s">
        <v>181</v>
      </c>
      <c r="B118" s="10" t="s">
        <v>444</v>
      </c>
    </row>
    <row r="119" spans="1:2" ht="34.799999999999997" x14ac:dyDescent="0.25">
      <c r="A119" s="9" t="s">
        <v>183</v>
      </c>
      <c r="B119" s="10" t="s">
        <v>445</v>
      </c>
    </row>
    <row r="120" spans="1:2" ht="23.4" x14ac:dyDescent="0.25">
      <c r="A120" s="9" t="s">
        <v>446</v>
      </c>
      <c r="B120" s="10" t="s">
        <v>447</v>
      </c>
    </row>
    <row r="121" spans="1:2" ht="34.799999999999997" x14ac:dyDescent="0.25">
      <c r="A121" s="9" t="s">
        <v>448</v>
      </c>
      <c r="B121" s="10" t="s">
        <v>449</v>
      </c>
    </row>
    <row r="122" spans="1:2" ht="34.799999999999997" x14ac:dyDescent="0.25">
      <c r="A122" s="9" t="s">
        <v>450</v>
      </c>
      <c r="B122" s="10" t="s">
        <v>451</v>
      </c>
    </row>
    <row r="123" spans="1:2" ht="34.799999999999997" x14ac:dyDescent="0.25">
      <c r="A123" s="11" t="s">
        <v>452</v>
      </c>
      <c r="B123" s="12" t="s">
        <v>453</v>
      </c>
    </row>
    <row r="124" spans="1:2" ht="34.799999999999997" x14ac:dyDescent="0.25">
      <c r="A124" s="9" t="s">
        <v>454</v>
      </c>
      <c r="B124" s="10" t="s">
        <v>455</v>
      </c>
    </row>
    <row r="125" spans="1:2" ht="23.4" x14ac:dyDescent="0.25">
      <c r="A125" s="9" t="s">
        <v>456</v>
      </c>
      <c r="B125" s="10" t="s">
        <v>457</v>
      </c>
    </row>
    <row r="126" spans="1:2" x14ac:dyDescent="0.25">
      <c r="A126" s="47" t="s">
        <v>458</v>
      </c>
      <c r="B126" s="48"/>
    </row>
    <row r="127" spans="1:2" ht="148.80000000000001" x14ac:dyDescent="0.25">
      <c r="A127" s="4" t="s">
        <v>459</v>
      </c>
      <c r="B127" s="10" t="s">
        <v>460</v>
      </c>
    </row>
    <row r="128" spans="1:2" ht="80.400000000000006" x14ac:dyDescent="0.25">
      <c r="A128" s="4" t="s">
        <v>461</v>
      </c>
      <c r="B128" s="10" t="s">
        <v>462</v>
      </c>
    </row>
    <row r="129" spans="1:2" ht="80.400000000000006" x14ac:dyDescent="0.25">
      <c r="A129" s="4" t="s">
        <v>463</v>
      </c>
      <c r="B129" s="10" t="s">
        <v>464</v>
      </c>
    </row>
    <row r="130" spans="1:2" ht="46.2" x14ac:dyDescent="0.25">
      <c r="A130" s="4" t="s">
        <v>205</v>
      </c>
      <c r="B130" s="10" t="s">
        <v>465</v>
      </c>
    </row>
    <row r="131" spans="1:2" ht="34.799999999999997" x14ac:dyDescent="0.25">
      <c r="A131" s="4" t="s">
        <v>207</v>
      </c>
      <c r="B131" s="10" t="s">
        <v>466</v>
      </c>
    </row>
    <row r="132" spans="1:2" ht="126" x14ac:dyDescent="0.25">
      <c r="A132" s="4" t="s">
        <v>467</v>
      </c>
      <c r="B132" s="10" t="s">
        <v>468</v>
      </c>
    </row>
    <row r="133" spans="1:2" ht="91.8" x14ac:dyDescent="0.25">
      <c r="A133" s="4" t="s">
        <v>469</v>
      </c>
      <c r="B133" s="10" t="s">
        <v>470</v>
      </c>
    </row>
    <row r="134" spans="1:2" ht="80.400000000000006" x14ac:dyDescent="0.25">
      <c r="A134" s="4" t="s">
        <v>471</v>
      </c>
      <c r="B134" s="10" t="s">
        <v>472</v>
      </c>
    </row>
    <row r="135" spans="1:2" x14ac:dyDescent="0.25">
      <c r="A135" s="47" t="s">
        <v>473</v>
      </c>
      <c r="B135" s="48"/>
    </row>
    <row r="136" spans="1:2" ht="34.799999999999997" x14ac:dyDescent="0.25">
      <c r="A136" s="4" t="s">
        <v>474</v>
      </c>
      <c r="B136" s="10" t="s">
        <v>475</v>
      </c>
    </row>
    <row r="137" spans="1:2" ht="34.799999999999997" x14ac:dyDescent="0.25">
      <c r="A137" s="4" t="s">
        <v>476</v>
      </c>
      <c r="B137" s="10" t="s">
        <v>477</v>
      </c>
    </row>
    <row r="138" spans="1:2" ht="23.4" x14ac:dyDescent="0.25">
      <c r="A138" s="4" t="s">
        <v>478</v>
      </c>
      <c r="B138" s="10" t="s">
        <v>479</v>
      </c>
    </row>
    <row r="139" spans="1:2" ht="46.2" x14ac:dyDescent="0.25">
      <c r="A139" s="4" t="s">
        <v>220</v>
      </c>
      <c r="B139" s="10" t="s">
        <v>480</v>
      </c>
    </row>
    <row r="140" spans="1:2" ht="34.799999999999997" x14ac:dyDescent="0.25">
      <c r="A140" s="4" t="s">
        <v>481</v>
      </c>
      <c r="B140" s="10" t="s">
        <v>482</v>
      </c>
    </row>
    <row r="141" spans="1:2" ht="34.799999999999997" x14ac:dyDescent="0.25">
      <c r="A141" s="4" t="s">
        <v>483</v>
      </c>
      <c r="B141" s="10" t="s">
        <v>484</v>
      </c>
    </row>
    <row r="142" spans="1:2" ht="34.799999999999997" x14ac:dyDescent="0.25">
      <c r="A142" s="4" t="s">
        <v>228</v>
      </c>
      <c r="B142" s="10" t="s">
        <v>485</v>
      </c>
    </row>
    <row r="143" spans="1:2" ht="80.400000000000006" x14ac:dyDescent="0.25">
      <c r="A143" s="4" t="s">
        <v>486</v>
      </c>
      <c r="B143" s="10" t="s">
        <v>487</v>
      </c>
    </row>
    <row r="144" spans="1:2" ht="217.2" x14ac:dyDescent="0.25">
      <c r="A144" s="4" t="s">
        <v>488</v>
      </c>
      <c r="B144" s="10" t="s">
        <v>489</v>
      </c>
    </row>
    <row r="145" spans="1:2" ht="91.8" x14ac:dyDescent="0.25">
      <c r="A145" s="4" t="s">
        <v>490</v>
      </c>
      <c r="B145" s="10" t="s">
        <v>491</v>
      </c>
    </row>
    <row r="146" spans="1:2" ht="80.400000000000006" x14ac:dyDescent="0.25">
      <c r="A146" s="4" t="s">
        <v>492</v>
      </c>
      <c r="B146" s="10" t="s">
        <v>493</v>
      </c>
    </row>
    <row r="147" spans="1:2" ht="57.6" x14ac:dyDescent="0.25">
      <c r="A147" s="4" t="s">
        <v>230</v>
      </c>
      <c r="B147" s="10" t="s">
        <v>494</v>
      </c>
    </row>
    <row r="148" spans="1:2" x14ac:dyDescent="0.25">
      <c r="A148" s="49" t="s">
        <v>495</v>
      </c>
      <c r="B148" s="50"/>
    </row>
    <row r="149" spans="1:2" ht="34.799999999999997" x14ac:dyDescent="0.25">
      <c r="A149" s="4" t="s">
        <v>496</v>
      </c>
      <c r="B149" s="10" t="s">
        <v>497</v>
      </c>
    </row>
    <row r="150" spans="1:2" ht="126" x14ac:dyDescent="0.25">
      <c r="A150" s="4" t="s">
        <v>156</v>
      </c>
      <c r="B150" s="10" t="s">
        <v>498</v>
      </c>
    </row>
    <row r="151" spans="1:2" ht="23.4" x14ac:dyDescent="0.25">
      <c r="A151" s="4" t="s">
        <v>499</v>
      </c>
      <c r="B151" s="10" t="s">
        <v>500</v>
      </c>
    </row>
    <row r="152" spans="1:2" ht="46.2" x14ac:dyDescent="0.25">
      <c r="A152" s="4" t="s">
        <v>501</v>
      </c>
      <c r="B152" s="10" t="s">
        <v>502</v>
      </c>
    </row>
  </sheetData>
  <mergeCells count="9">
    <mergeCell ref="A126:B126"/>
    <mergeCell ref="A135:B135"/>
    <mergeCell ref="A148:B148"/>
    <mergeCell ref="A2:B2"/>
    <mergeCell ref="A34:B34"/>
    <mergeCell ref="A49:B49"/>
    <mergeCell ref="A84:B84"/>
    <mergeCell ref="A111:B111"/>
    <mergeCell ref="A117:B1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77734375"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Чай</vt:lpstr>
      <vt:lpstr>Описание чая</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dc:creator>
  <cp:lastModifiedBy>Eduard</cp:lastModifiedBy>
  <dcterms:created xsi:type="dcterms:W3CDTF">2020-03-26T09:16:06Z</dcterms:created>
  <dcterms:modified xsi:type="dcterms:W3CDTF">2026-02-09T07:30:06Z</dcterms:modified>
</cp:coreProperties>
</file>